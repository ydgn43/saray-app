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167DE7E1-BA59-4AC5-91E4-3D8033F062A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1.HAFTA" sheetId="5" r:id="rId1"/>
    <sheet name="2.HAFTA" sheetId="16" r:id="rId2"/>
    <sheet name="3.HAFTA" sheetId="17" r:id="rId3"/>
    <sheet name="4.HAFTA" sheetId="18" r:id="rId4"/>
    <sheet name="GENEL" sheetId="9" r:id="rId5"/>
  </sheets>
  <definedNames>
    <definedName name="_xlnm._FilterDatabase" localSheetId="0" hidden="1">'1.HAFTA'!$A$3:$AI$54</definedName>
    <definedName name="_xlnm._FilterDatabase" localSheetId="1" hidden="1">'2.HAFTA'!$A$3:$AI$58</definedName>
    <definedName name="_xlnm.Print_Area" localSheetId="1">'2.HAFTA'!$A$1:$AI$63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17" l="1"/>
  <c r="D16" i="9"/>
  <c r="D17" i="9"/>
  <c r="D18" i="9"/>
  <c r="M26" i="9"/>
  <c r="M27" i="9"/>
  <c r="M28" i="9"/>
  <c r="M29" i="9"/>
  <c r="M30" i="9"/>
  <c r="M31" i="9"/>
  <c r="R25" i="9"/>
  <c r="U6" i="9"/>
  <c r="U7" i="9"/>
  <c r="U8" i="9"/>
  <c r="U9" i="9"/>
  <c r="U11" i="9"/>
  <c r="U12" i="9"/>
  <c r="U13" i="9"/>
  <c r="U15" i="9"/>
  <c r="U17" i="9"/>
  <c r="U18" i="9"/>
  <c r="U19" i="9"/>
  <c r="U20" i="9"/>
  <c r="U21" i="9"/>
  <c r="U22" i="9"/>
  <c r="U23" i="9"/>
  <c r="U24" i="9"/>
  <c r="U26" i="9"/>
  <c r="U27" i="9"/>
  <c r="U29" i="9"/>
  <c r="U31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AE5" i="16"/>
  <c r="AE6" i="16"/>
  <c r="T6" i="9"/>
  <c r="AE7" i="16"/>
  <c r="T7" i="9"/>
  <c r="AE8" i="16"/>
  <c r="T8" i="9"/>
  <c r="AE9" i="16"/>
  <c r="T9" i="9"/>
  <c r="AE10" i="16"/>
  <c r="T10" i="9"/>
  <c r="AE11" i="16"/>
  <c r="T11" i="9"/>
  <c r="AE12" i="16"/>
  <c r="T12" i="9"/>
  <c r="AE13" i="16"/>
  <c r="T13" i="9"/>
  <c r="AE14" i="16"/>
  <c r="AE15" i="16"/>
  <c r="T15" i="9"/>
  <c r="AE16" i="16"/>
  <c r="T16" i="9"/>
  <c r="AE17" i="16"/>
  <c r="T17" i="9"/>
  <c r="AE18" i="16"/>
  <c r="T18" i="9"/>
  <c r="AE19" i="16"/>
  <c r="T19" i="9"/>
  <c r="AE20" i="16"/>
  <c r="T20" i="9"/>
  <c r="AE21" i="16"/>
  <c r="T21" i="9"/>
  <c r="AE22" i="16"/>
  <c r="T22" i="9"/>
  <c r="AE23" i="16"/>
  <c r="T23" i="9"/>
  <c r="AE24" i="16"/>
  <c r="T24" i="9"/>
  <c r="AE25" i="16"/>
  <c r="T25" i="9"/>
  <c r="AE26" i="16"/>
  <c r="T26" i="9"/>
  <c r="AE27" i="16"/>
  <c r="T27" i="9"/>
  <c r="AE28" i="16"/>
  <c r="T28" i="9"/>
  <c r="AE29" i="16"/>
  <c r="T29" i="9"/>
  <c r="AE30" i="16"/>
  <c r="T30" i="9"/>
  <c r="AE31" i="16"/>
  <c r="T31" i="9"/>
  <c r="AE32" i="16"/>
  <c r="T32" i="9"/>
  <c r="AE33" i="16"/>
  <c r="T33" i="9"/>
  <c r="AE34" i="16"/>
  <c r="T34" i="9"/>
  <c r="AE35" i="16"/>
  <c r="T35" i="9"/>
  <c r="AE36" i="16"/>
  <c r="T36" i="9"/>
  <c r="AE37" i="16"/>
  <c r="T37" i="9"/>
  <c r="AE38" i="16"/>
  <c r="T38" i="9"/>
  <c r="AE39" i="16"/>
  <c r="T39" i="9"/>
  <c r="AE40" i="16"/>
  <c r="T40" i="9"/>
  <c r="AE41" i="16"/>
  <c r="T41" i="9"/>
  <c r="AE42" i="16"/>
  <c r="T42" i="9"/>
  <c r="AE43" i="16"/>
  <c r="T43" i="9"/>
  <c r="AE44" i="16"/>
  <c r="T44" i="9"/>
  <c r="AE45" i="16"/>
  <c r="T45" i="9"/>
  <c r="P6" i="9"/>
  <c r="P7" i="9"/>
  <c r="P8" i="9"/>
  <c r="P9" i="9"/>
  <c r="P10" i="9"/>
  <c r="P11" i="9"/>
  <c r="P12" i="9"/>
  <c r="P13" i="9"/>
  <c r="P17" i="9"/>
  <c r="P19" i="9"/>
  <c r="P20" i="9"/>
  <c r="P21" i="9"/>
  <c r="P22" i="9"/>
  <c r="P23" i="9"/>
  <c r="P24" i="9"/>
  <c r="P25" i="9"/>
  <c r="P30" i="9"/>
  <c r="P31" i="9"/>
  <c r="P33" i="9"/>
  <c r="P35" i="9"/>
  <c r="P38" i="9"/>
  <c r="P41" i="9"/>
  <c r="P42" i="9"/>
  <c r="O7" i="9"/>
  <c r="O8" i="9"/>
  <c r="O9" i="9"/>
  <c r="O10" i="9"/>
  <c r="O11" i="9"/>
  <c r="O12" i="9"/>
  <c r="O13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G14" i="9"/>
  <c r="C15" i="9"/>
  <c r="D15" i="9"/>
  <c r="E15" i="9"/>
  <c r="F15" i="9"/>
  <c r="G15" i="9"/>
  <c r="C16" i="9"/>
  <c r="E16" i="9"/>
  <c r="F16" i="9"/>
  <c r="G16" i="9"/>
  <c r="C17" i="9"/>
  <c r="E17" i="9"/>
  <c r="F17" i="9"/>
  <c r="G17" i="9"/>
  <c r="C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M23" i="9"/>
  <c r="N23" i="9"/>
  <c r="Q23" i="9"/>
  <c r="O4" i="9"/>
  <c r="E4" i="9"/>
  <c r="AE4" i="16"/>
  <c r="T4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S5" i="9"/>
  <c r="M18" i="9"/>
  <c r="N18" i="9"/>
  <c r="Q18" i="9"/>
  <c r="W18" i="9"/>
  <c r="M19" i="9"/>
  <c r="N19" i="9"/>
  <c r="Q19" i="9"/>
  <c r="W19" i="9"/>
  <c r="M20" i="9"/>
  <c r="N20" i="9"/>
  <c r="Q20" i="9"/>
  <c r="W20" i="9"/>
  <c r="M21" i="9"/>
  <c r="N21" i="9"/>
  <c r="Q21" i="9"/>
  <c r="W21" i="9"/>
  <c r="M22" i="9"/>
  <c r="N22" i="9"/>
  <c r="Q22" i="9"/>
  <c r="W22" i="9"/>
  <c r="M17" i="9"/>
  <c r="N17" i="9"/>
  <c r="Q17" i="9"/>
  <c r="W17" i="9"/>
  <c r="M16" i="9"/>
  <c r="N16" i="9"/>
  <c r="Q16" i="9"/>
  <c r="W16" i="9"/>
  <c r="M15" i="9"/>
  <c r="N15" i="9"/>
  <c r="Q15" i="9"/>
  <c r="W15" i="9"/>
  <c r="AG30" i="5"/>
  <c r="AG31" i="5"/>
  <c r="AG32" i="5"/>
  <c r="AH30" i="5"/>
  <c r="AH31" i="5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O5" i="9"/>
  <c r="M5" i="9"/>
  <c r="N5" i="9"/>
  <c r="Q5" i="9"/>
  <c r="W5" i="9"/>
  <c r="O6" i="9"/>
  <c r="M6" i="9"/>
  <c r="N6" i="9"/>
  <c r="Q6" i="9"/>
  <c r="W6" i="9"/>
  <c r="S17" i="9"/>
  <c r="S18" i="9"/>
  <c r="S19" i="9"/>
  <c r="N31" i="9"/>
  <c r="N32" i="9"/>
  <c r="R6" i="9"/>
  <c r="S6" i="9"/>
  <c r="V5" i="9"/>
  <c r="U4" i="9"/>
  <c r="P4" i="9"/>
  <c r="F4" i="9"/>
  <c r="N27" i="9"/>
  <c r="Q27" i="9"/>
  <c r="M7" i="9"/>
  <c r="M8" i="9"/>
  <c r="M9" i="9"/>
  <c r="R7" i="9"/>
  <c r="R8" i="9"/>
  <c r="S25" i="9"/>
  <c r="S26" i="9"/>
  <c r="S27" i="9"/>
  <c r="S28" i="9"/>
  <c r="S30" i="9"/>
  <c r="S31" i="9"/>
  <c r="S32" i="9"/>
  <c r="S34" i="9"/>
  <c r="S35" i="9"/>
  <c r="S36" i="9"/>
  <c r="S37" i="9"/>
  <c r="S38" i="9"/>
  <c r="S39" i="9"/>
  <c r="M45" i="9"/>
  <c r="N45" i="9"/>
  <c r="Q45" i="9"/>
  <c r="W45" i="9"/>
  <c r="S45" i="9"/>
  <c r="V45" i="9"/>
  <c r="S7" i="9"/>
  <c r="S8" i="9"/>
  <c r="S9" i="9"/>
  <c r="S10" i="9"/>
  <c r="S11" i="9"/>
  <c r="S12" i="9"/>
  <c r="S13" i="9"/>
  <c r="S15" i="9"/>
  <c r="S20" i="9"/>
  <c r="S21" i="9"/>
  <c r="S23" i="9"/>
  <c r="S24" i="9"/>
  <c r="S40" i="9"/>
  <c r="S41" i="9"/>
  <c r="R9" i="9"/>
  <c r="N7" i="9"/>
  <c r="N8" i="9"/>
  <c r="N9" i="9"/>
  <c r="N10" i="9"/>
  <c r="N11" i="9"/>
  <c r="N12" i="9"/>
  <c r="N13" i="9"/>
  <c r="N14" i="9"/>
  <c r="N24" i="9"/>
  <c r="N25" i="9"/>
  <c r="N26" i="9"/>
  <c r="N28" i="9"/>
  <c r="N29" i="9"/>
  <c r="N30" i="9"/>
  <c r="N33" i="9"/>
  <c r="N34" i="9"/>
  <c r="N35" i="9"/>
  <c r="N36" i="9"/>
  <c r="N37" i="9"/>
  <c r="N38" i="9"/>
  <c r="N39" i="9"/>
  <c r="N40" i="9"/>
  <c r="N41" i="9"/>
  <c r="N42" i="9"/>
  <c r="N43" i="9"/>
  <c r="N44" i="9"/>
  <c r="M10" i="9"/>
  <c r="M11" i="9"/>
  <c r="M12" i="9"/>
  <c r="M13" i="9"/>
  <c r="M14" i="9"/>
  <c r="M24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AE4" i="18"/>
  <c r="AE5" i="18"/>
  <c r="AE6" i="18"/>
  <c r="AE7" i="18"/>
  <c r="AE8" i="18"/>
  <c r="AE9" i="18"/>
  <c r="AE10" i="18"/>
  <c r="AE11" i="18"/>
  <c r="AE12" i="18"/>
  <c r="AE13" i="18"/>
  <c r="AE14" i="18"/>
  <c r="AE15" i="18"/>
  <c r="AE16" i="18"/>
  <c r="AE17" i="18"/>
  <c r="AE18" i="18"/>
  <c r="AE19" i="18"/>
  <c r="AE20" i="18"/>
  <c r="AE21" i="18"/>
  <c r="AE22" i="18"/>
  <c r="AE23" i="18"/>
  <c r="AE24" i="18"/>
  <c r="AE25" i="18"/>
  <c r="AE26" i="18"/>
  <c r="AE27" i="18"/>
  <c r="AE28" i="18"/>
  <c r="AE29" i="18"/>
  <c r="AE30" i="18"/>
  <c r="AE31" i="18"/>
  <c r="AE32" i="18"/>
  <c r="AE33" i="18"/>
  <c r="AE34" i="18"/>
  <c r="AE35" i="18"/>
  <c r="AE36" i="18"/>
  <c r="AE37" i="18"/>
  <c r="AE38" i="18"/>
  <c r="AE39" i="18"/>
  <c r="AE40" i="18"/>
  <c r="AE41" i="18"/>
  <c r="AE42" i="18"/>
  <c r="AE43" i="18"/>
  <c r="AE44" i="18"/>
  <c r="A1" i="9"/>
  <c r="AM36" i="5"/>
  <c r="B46" i="9"/>
  <c r="B47" i="9"/>
  <c r="B48" i="9"/>
  <c r="B49" i="9"/>
  <c r="B50" i="9"/>
  <c r="B51" i="9"/>
  <c r="B52" i="9"/>
  <c r="B53" i="9"/>
  <c r="B54" i="9"/>
  <c r="B55" i="9"/>
  <c r="B56" i="9"/>
  <c r="B57" i="9"/>
  <c r="V16" i="9"/>
  <c r="B4" i="9"/>
  <c r="B4" i="18"/>
  <c r="B4" i="17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4" i="16"/>
  <c r="Q26" i="9"/>
  <c r="V21" i="9"/>
  <c r="V22" i="9"/>
  <c r="V23" i="9"/>
  <c r="V24" i="9"/>
  <c r="AG21" i="5"/>
  <c r="AH10" i="5"/>
  <c r="H16" i="9"/>
  <c r="I16" i="9"/>
  <c r="J16" i="9"/>
  <c r="K16" i="9"/>
  <c r="L16" i="9"/>
  <c r="V14" i="9"/>
  <c r="Q14" i="9"/>
  <c r="H14" i="9"/>
  <c r="I14" i="9"/>
  <c r="J14" i="9"/>
  <c r="K14" i="9"/>
  <c r="L14" i="9"/>
  <c r="AE46" i="17"/>
  <c r="AF46" i="17"/>
  <c r="AG46" i="17"/>
  <c r="AH46" i="17"/>
  <c r="AI46" i="17"/>
  <c r="B57" i="18"/>
  <c r="B56" i="18"/>
  <c r="B55" i="18"/>
  <c r="B54" i="18"/>
  <c r="B53" i="18"/>
  <c r="B52" i="18"/>
  <c r="B51" i="18"/>
  <c r="B50" i="18"/>
  <c r="B49" i="18"/>
  <c r="B48" i="18"/>
  <c r="B47" i="18"/>
  <c r="B46" i="18"/>
  <c r="AG60" i="16"/>
  <c r="AI60" i="16"/>
  <c r="AE14" i="5"/>
  <c r="AF14" i="5"/>
  <c r="AE38" i="5"/>
  <c r="S4" i="9"/>
  <c r="R4" i="9"/>
  <c r="AH4" i="16"/>
  <c r="Q7" i="9"/>
  <c r="W7" i="9"/>
  <c r="Q8" i="9"/>
  <c r="W8" i="9"/>
  <c r="Q9" i="9"/>
  <c r="W9" i="9"/>
  <c r="Q10" i="9"/>
  <c r="W10" i="9"/>
  <c r="Q11" i="9"/>
  <c r="W11" i="9"/>
  <c r="Q12" i="9"/>
  <c r="W12" i="9"/>
  <c r="Q13" i="9"/>
  <c r="W13" i="9"/>
  <c r="W14" i="9"/>
  <c r="W23" i="9"/>
  <c r="Q24" i="9"/>
  <c r="W24" i="9"/>
  <c r="Q25" i="9"/>
  <c r="W25" i="9"/>
  <c r="W26" i="9"/>
  <c r="W27" i="9"/>
  <c r="Q28" i="9"/>
  <c r="W28" i="9"/>
  <c r="Q29" i="9"/>
  <c r="W29" i="9"/>
  <c r="Q30" i="9"/>
  <c r="W30" i="9"/>
  <c r="Q31" i="9"/>
  <c r="W31" i="9"/>
  <c r="Q32" i="9"/>
  <c r="W32" i="9"/>
  <c r="Q33" i="9"/>
  <c r="W33" i="9"/>
  <c r="Q34" i="9"/>
  <c r="W34" i="9"/>
  <c r="Q35" i="9"/>
  <c r="W35" i="9"/>
  <c r="Q36" i="9"/>
  <c r="W36" i="9"/>
  <c r="Q37" i="9"/>
  <c r="W37" i="9"/>
  <c r="Q38" i="9"/>
  <c r="W38" i="9"/>
  <c r="Q39" i="9"/>
  <c r="W39" i="9"/>
  <c r="Q40" i="9"/>
  <c r="W40" i="9"/>
  <c r="Q41" i="9"/>
  <c r="W41" i="9"/>
  <c r="Q42" i="9"/>
  <c r="W42" i="9"/>
  <c r="Q43" i="9"/>
  <c r="W43" i="9"/>
  <c r="Q44" i="9"/>
  <c r="W44" i="9"/>
  <c r="AE59" i="16"/>
  <c r="AF59" i="16"/>
  <c r="AG59" i="16"/>
  <c r="B53" i="17"/>
  <c r="B54" i="17"/>
  <c r="B55" i="17"/>
  <c r="B56" i="17"/>
  <c r="B57" i="17"/>
  <c r="B52" i="17"/>
  <c r="AH59" i="16"/>
  <c r="AI59" i="16"/>
  <c r="AE58" i="17"/>
  <c r="AF58" i="17"/>
  <c r="AG58" i="17"/>
  <c r="AH58" i="17"/>
  <c r="AI58" i="17"/>
  <c r="AE58" i="18"/>
  <c r="AF58" i="18"/>
  <c r="AG58" i="18"/>
  <c r="AH58" i="18"/>
  <c r="AI58" i="18"/>
  <c r="AE55" i="5"/>
  <c r="AF55" i="5"/>
  <c r="AG55" i="5"/>
  <c r="AH55" i="5"/>
  <c r="AI55" i="5"/>
  <c r="AE56" i="5"/>
  <c r="AF56" i="5"/>
  <c r="AG56" i="5"/>
  <c r="AH56" i="5"/>
  <c r="AI56" i="5"/>
  <c r="AE57" i="5"/>
  <c r="AF57" i="5"/>
  <c r="AG57" i="5"/>
  <c r="AH57" i="5"/>
  <c r="AI57" i="5"/>
  <c r="AE58" i="5"/>
  <c r="AF58" i="5"/>
  <c r="AG58" i="5"/>
  <c r="AH58" i="5"/>
  <c r="AI58" i="5"/>
  <c r="AE59" i="5"/>
  <c r="AF59" i="5"/>
  <c r="AG59" i="5"/>
  <c r="AH59" i="5"/>
  <c r="AI59" i="5"/>
  <c r="C4" i="9"/>
  <c r="D4" i="9"/>
  <c r="M4" i="9"/>
  <c r="N4" i="9"/>
  <c r="Q4" i="9"/>
  <c r="AE1" i="18"/>
  <c r="A1" i="18"/>
  <c r="A1" i="17"/>
  <c r="A1" i="16"/>
  <c r="AE1" i="16"/>
  <c r="AF20" i="5"/>
  <c r="AF4" i="18"/>
  <c r="AE46" i="5"/>
  <c r="AF46" i="5"/>
  <c r="AG46" i="5"/>
  <c r="AH46" i="5"/>
  <c r="AI46" i="5"/>
  <c r="AE6" i="5"/>
  <c r="AF6" i="5"/>
  <c r="AG6" i="5"/>
  <c r="AH6" i="5"/>
  <c r="AI6" i="5"/>
  <c r="AE7" i="5"/>
  <c r="AF7" i="5"/>
  <c r="AG7" i="5"/>
  <c r="AH7" i="5"/>
  <c r="AI7" i="5"/>
  <c r="AE8" i="5"/>
  <c r="AF8" i="5"/>
  <c r="AG8" i="5"/>
  <c r="AH8" i="5"/>
  <c r="AI8" i="5"/>
  <c r="AE47" i="5"/>
  <c r="AF47" i="5"/>
  <c r="AG47" i="5"/>
  <c r="AH47" i="5"/>
  <c r="AI47" i="5"/>
  <c r="AE10" i="5"/>
  <c r="AF10" i="5"/>
  <c r="AG10" i="5"/>
  <c r="AI10" i="5"/>
  <c r="AE11" i="5"/>
  <c r="AF11" i="5"/>
  <c r="AG11" i="5"/>
  <c r="AH11" i="5"/>
  <c r="AI11" i="5"/>
  <c r="AE12" i="5"/>
  <c r="AF12" i="5"/>
  <c r="AG12" i="5"/>
  <c r="AH12" i="5"/>
  <c r="AI12" i="5"/>
  <c r="AE13" i="5"/>
  <c r="AF13" i="5"/>
  <c r="AG13" i="5"/>
  <c r="AH13" i="5"/>
  <c r="AI13" i="5"/>
  <c r="AG14" i="5"/>
  <c r="AH14" i="5"/>
  <c r="AI14" i="5"/>
  <c r="AE15" i="5"/>
  <c r="AF15" i="5"/>
  <c r="AG15" i="5"/>
  <c r="AH15" i="5"/>
  <c r="AI15" i="5"/>
  <c r="AE16" i="5"/>
  <c r="AF16" i="5"/>
  <c r="AG16" i="5"/>
  <c r="AH16" i="5"/>
  <c r="AI16" i="5"/>
  <c r="AE17" i="5"/>
  <c r="AF17" i="5"/>
  <c r="AG17" i="5"/>
  <c r="AH17" i="5"/>
  <c r="AI17" i="5"/>
  <c r="AE5" i="5"/>
  <c r="AF5" i="5"/>
  <c r="AG5" i="5"/>
  <c r="AH5" i="5"/>
  <c r="AI5" i="5"/>
  <c r="AE19" i="5"/>
  <c r="AF19" i="5"/>
  <c r="AG19" i="5"/>
  <c r="AH19" i="5"/>
  <c r="AI19" i="5"/>
  <c r="AE4" i="5"/>
  <c r="AF4" i="5"/>
  <c r="AG4" i="5"/>
  <c r="AH4" i="5"/>
  <c r="AI4" i="5"/>
  <c r="AF21" i="5"/>
  <c r="AH21" i="5"/>
  <c r="AE22" i="5"/>
  <c r="AF22" i="5"/>
  <c r="AG22" i="5"/>
  <c r="AH22" i="5"/>
  <c r="AI22" i="5"/>
  <c r="AE23" i="5"/>
  <c r="AF23" i="5"/>
  <c r="AG23" i="5"/>
  <c r="AH23" i="5"/>
  <c r="AI23" i="5"/>
  <c r="AE24" i="5"/>
  <c r="AF24" i="5"/>
  <c r="AG24" i="5"/>
  <c r="AH24" i="5"/>
  <c r="AI24" i="5"/>
  <c r="AE25" i="5"/>
  <c r="AF25" i="5"/>
  <c r="AG25" i="5"/>
  <c r="AH25" i="5"/>
  <c r="AI25" i="5"/>
  <c r="AE28" i="5"/>
  <c r="AF28" i="5"/>
  <c r="AG28" i="5"/>
  <c r="AH28" i="5"/>
  <c r="AI28" i="5"/>
  <c r="AE27" i="5"/>
  <c r="AF27" i="5"/>
  <c r="AG27" i="5"/>
  <c r="AH27" i="5"/>
  <c r="AI27" i="5"/>
  <c r="AE31" i="5"/>
  <c r="AF31" i="5"/>
  <c r="AI31" i="5"/>
  <c r="AE29" i="5"/>
  <c r="AF29" i="5"/>
  <c r="AG29" i="5"/>
  <c r="AH29" i="5"/>
  <c r="AI29" i="5"/>
  <c r="AE30" i="5"/>
  <c r="AF30" i="5"/>
  <c r="AI30" i="5"/>
  <c r="AE9" i="5"/>
  <c r="AF9" i="5"/>
  <c r="AG9" i="5"/>
  <c r="AH9" i="5"/>
  <c r="AI9" i="5"/>
  <c r="AE32" i="5"/>
  <c r="AF32" i="5"/>
  <c r="AH32" i="5"/>
  <c r="AI32" i="5"/>
  <c r="AE33" i="5"/>
  <c r="AF33" i="5"/>
  <c r="AG33" i="5"/>
  <c r="AH33" i="5"/>
  <c r="AI33" i="5"/>
  <c r="AE34" i="5"/>
  <c r="AF34" i="5"/>
  <c r="AG34" i="5"/>
  <c r="AH34" i="5"/>
  <c r="AI34" i="5"/>
  <c r="AE35" i="5"/>
  <c r="AF35" i="5"/>
  <c r="AG35" i="5"/>
  <c r="AH35" i="5"/>
  <c r="AI35" i="5"/>
  <c r="AE36" i="5"/>
  <c r="AF36" i="5"/>
  <c r="AG36" i="5"/>
  <c r="AH36" i="5"/>
  <c r="AI36" i="5"/>
  <c r="AE37" i="5"/>
  <c r="AF37" i="5"/>
  <c r="AG37" i="5"/>
  <c r="AH37" i="5"/>
  <c r="AI37" i="5"/>
  <c r="AF38" i="5"/>
  <c r="AG38" i="5"/>
  <c r="AH38" i="5"/>
  <c r="AI38" i="5"/>
  <c r="AE39" i="5"/>
  <c r="AF39" i="5"/>
  <c r="AG39" i="5"/>
  <c r="AH39" i="5"/>
  <c r="AI39" i="5"/>
  <c r="AE40" i="5"/>
  <c r="AF40" i="5"/>
  <c r="AG40" i="5"/>
  <c r="AH40" i="5"/>
  <c r="AI40" i="5"/>
  <c r="AE26" i="5"/>
  <c r="AF26" i="5"/>
  <c r="AG26" i="5"/>
  <c r="AH26" i="5"/>
  <c r="AI26" i="5"/>
  <c r="AE42" i="5"/>
  <c r="AF42" i="5"/>
  <c r="AG42" i="5"/>
  <c r="AH42" i="5"/>
  <c r="AI42" i="5"/>
  <c r="AE18" i="5"/>
  <c r="AF18" i="5"/>
  <c r="AG18" i="5"/>
  <c r="AH18" i="5"/>
  <c r="AI18" i="5"/>
  <c r="AE49" i="5"/>
  <c r="AF49" i="5"/>
  <c r="AG49" i="5"/>
  <c r="AH49" i="5"/>
  <c r="AI49" i="5"/>
  <c r="AE45" i="5"/>
  <c r="AF45" i="5"/>
  <c r="AG45" i="5"/>
  <c r="AH45" i="5"/>
  <c r="AI45" i="5"/>
  <c r="AE44" i="5"/>
  <c r="AF44" i="5"/>
  <c r="AG44" i="5"/>
  <c r="AH44" i="5"/>
  <c r="AI44" i="5"/>
  <c r="AE41" i="5"/>
  <c r="AF41" i="5"/>
  <c r="AG41" i="5"/>
  <c r="AH41" i="5"/>
  <c r="AI41" i="5"/>
  <c r="AE43" i="5"/>
  <c r="AF43" i="5"/>
  <c r="AG43" i="5"/>
  <c r="AH43" i="5"/>
  <c r="AI43" i="5"/>
  <c r="AE48" i="5"/>
  <c r="AF48" i="5"/>
  <c r="AG48" i="5"/>
  <c r="AH48" i="5"/>
  <c r="AI48" i="5"/>
  <c r="AE50" i="5"/>
  <c r="AF50" i="5"/>
  <c r="AG50" i="5"/>
  <c r="AH50" i="5"/>
  <c r="AI50" i="5"/>
  <c r="AE51" i="5"/>
  <c r="AF51" i="5"/>
  <c r="AG51" i="5"/>
  <c r="AH51" i="5"/>
  <c r="AI51" i="5"/>
  <c r="AE52" i="5"/>
  <c r="AF52" i="5"/>
  <c r="AG52" i="5"/>
  <c r="AH52" i="5"/>
  <c r="AI52" i="5"/>
  <c r="AE53" i="5"/>
  <c r="AF53" i="5"/>
  <c r="AG53" i="5"/>
  <c r="AH53" i="5"/>
  <c r="AI53" i="5"/>
  <c r="AE54" i="5"/>
  <c r="AF54" i="5"/>
  <c r="AG54" i="5"/>
  <c r="AH54" i="5"/>
  <c r="AI54" i="5"/>
  <c r="AE4" i="17"/>
  <c r="AF5" i="18"/>
  <c r="AG5" i="18"/>
  <c r="AH5" i="18"/>
  <c r="AI5" i="18"/>
  <c r="AF6" i="18"/>
  <c r="AG6" i="18"/>
  <c r="AH6" i="18"/>
  <c r="AI6" i="18"/>
  <c r="AF7" i="18"/>
  <c r="AG7" i="18"/>
  <c r="AH7" i="18"/>
  <c r="AI7" i="18"/>
  <c r="AF8" i="18"/>
  <c r="AG8" i="18"/>
  <c r="AH8" i="18"/>
  <c r="AI8" i="18"/>
  <c r="AF9" i="18"/>
  <c r="AG9" i="18"/>
  <c r="AH9" i="18"/>
  <c r="AI9" i="18"/>
  <c r="AF10" i="18"/>
  <c r="AG10" i="18"/>
  <c r="AH10" i="18"/>
  <c r="AI10" i="18"/>
  <c r="AF11" i="18"/>
  <c r="AG11" i="18"/>
  <c r="AH11" i="18"/>
  <c r="AI11" i="18"/>
  <c r="AF12" i="18"/>
  <c r="AG12" i="18"/>
  <c r="AH12" i="18"/>
  <c r="AI12" i="18"/>
  <c r="AF13" i="18"/>
  <c r="AG13" i="18"/>
  <c r="AH13" i="18"/>
  <c r="AI13" i="18"/>
  <c r="AF14" i="18"/>
  <c r="AG14" i="18"/>
  <c r="AH14" i="18"/>
  <c r="AI14" i="18"/>
  <c r="AF15" i="18"/>
  <c r="AG15" i="18"/>
  <c r="AH15" i="18"/>
  <c r="AI15" i="18"/>
  <c r="AF16" i="18"/>
  <c r="AG16" i="18"/>
  <c r="AH16" i="18"/>
  <c r="AI16" i="18"/>
  <c r="AF17" i="18"/>
  <c r="AG17" i="18"/>
  <c r="AH17" i="18"/>
  <c r="AI17" i="18"/>
  <c r="AF18" i="18"/>
  <c r="AG18" i="18"/>
  <c r="AH18" i="18"/>
  <c r="AI18" i="18"/>
  <c r="AF19" i="18"/>
  <c r="AG19" i="18"/>
  <c r="AH19" i="18"/>
  <c r="AI19" i="18"/>
  <c r="AF20" i="18"/>
  <c r="AG20" i="18"/>
  <c r="AH20" i="18"/>
  <c r="AI20" i="18"/>
  <c r="AF21" i="18"/>
  <c r="AG21" i="18"/>
  <c r="AH21" i="18"/>
  <c r="AI21" i="18"/>
  <c r="AF22" i="18"/>
  <c r="AG22" i="18"/>
  <c r="AH22" i="18"/>
  <c r="AI22" i="18"/>
  <c r="AF23" i="18"/>
  <c r="AG23" i="18"/>
  <c r="AH23" i="18"/>
  <c r="AI23" i="18"/>
  <c r="AF24" i="18"/>
  <c r="AG24" i="18"/>
  <c r="AH24" i="18"/>
  <c r="AI24" i="18"/>
  <c r="AF25" i="18"/>
  <c r="AG25" i="18"/>
  <c r="AH25" i="18"/>
  <c r="AI25" i="18"/>
  <c r="AF26" i="18"/>
  <c r="AG26" i="18"/>
  <c r="AH26" i="18"/>
  <c r="AI26" i="18"/>
  <c r="AF27" i="18"/>
  <c r="AG27" i="18"/>
  <c r="AH27" i="18"/>
  <c r="AI27" i="18"/>
  <c r="AF28" i="18"/>
  <c r="AG28" i="18"/>
  <c r="AH28" i="18"/>
  <c r="AI28" i="18"/>
  <c r="AF29" i="18"/>
  <c r="AG29" i="18"/>
  <c r="AH29" i="18"/>
  <c r="AI29" i="18"/>
  <c r="AF30" i="18"/>
  <c r="AG30" i="18"/>
  <c r="AH30" i="18"/>
  <c r="AI30" i="18"/>
  <c r="AF31" i="18"/>
  <c r="AG31" i="18"/>
  <c r="AH31" i="18"/>
  <c r="AI31" i="18"/>
  <c r="AF32" i="18"/>
  <c r="AG32" i="18"/>
  <c r="AH32" i="18"/>
  <c r="AI32" i="18"/>
  <c r="AF33" i="18"/>
  <c r="AG33" i="18"/>
  <c r="AH33" i="18"/>
  <c r="AI33" i="18"/>
  <c r="AF34" i="18"/>
  <c r="AG34" i="18"/>
  <c r="AH34" i="18"/>
  <c r="AI34" i="18"/>
  <c r="AF35" i="18"/>
  <c r="AG35" i="18"/>
  <c r="AH35" i="18"/>
  <c r="AI35" i="18"/>
  <c r="AF36" i="18"/>
  <c r="AG36" i="18"/>
  <c r="AH36" i="18"/>
  <c r="AI36" i="18"/>
  <c r="AF37" i="18"/>
  <c r="AG37" i="18"/>
  <c r="AH37" i="18"/>
  <c r="AI37" i="18"/>
  <c r="AF38" i="18"/>
  <c r="AG38" i="18"/>
  <c r="AH38" i="18"/>
  <c r="AI38" i="18"/>
  <c r="AF39" i="18"/>
  <c r="AG39" i="18"/>
  <c r="AH39" i="18"/>
  <c r="AI39" i="18"/>
  <c r="AF40" i="18"/>
  <c r="AG40" i="18"/>
  <c r="AH40" i="18"/>
  <c r="AI40" i="18"/>
  <c r="AF41" i="18"/>
  <c r="AG41" i="18"/>
  <c r="AH41" i="18"/>
  <c r="AI41" i="18"/>
  <c r="AF42" i="18"/>
  <c r="AG42" i="18"/>
  <c r="AH42" i="18"/>
  <c r="AI42" i="18"/>
  <c r="AF43" i="18"/>
  <c r="AG43" i="18"/>
  <c r="AH43" i="18"/>
  <c r="AI43" i="18"/>
  <c r="AF44" i="18"/>
  <c r="AG44" i="18"/>
  <c r="AH44" i="18"/>
  <c r="AI44" i="18"/>
  <c r="AE45" i="18"/>
  <c r="AF45" i="18"/>
  <c r="AG45" i="18"/>
  <c r="AH45" i="18"/>
  <c r="AI45" i="18"/>
  <c r="AE46" i="18"/>
  <c r="AF46" i="18"/>
  <c r="AG46" i="18"/>
  <c r="AH46" i="18"/>
  <c r="AI46" i="18"/>
  <c r="AE47" i="18"/>
  <c r="AF47" i="18"/>
  <c r="AG47" i="18"/>
  <c r="AH47" i="18"/>
  <c r="AI47" i="18"/>
  <c r="AE48" i="18"/>
  <c r="AF48" i="18"/>
  <c r="AG48" i="18"/>
  <c r="AH48" i="18"/>
  <c r="AI48" i="18"/>
  <c r="AE49" i="18"/>
  <c r="AF49" i="18"/>
  <c r="AG49" i="18"/>
  <c r="AH49" i="18"/>
  <c r="AI49" i="18"/>
  <c r="AE50" i="18"/>
  <c r="AF50" i="18"/>
  <c r="AG50" i="18"/>
  <c r="AH50" i="18"/>
  <c r="AI50" i="18"/>
  <c r="AE51" i="18"/>
  <c r="AF51" i="18"/>
  <c r="AG51" i="18"/>
  <c r="AH51" i="18"/>
  <c r="AI51" i="18"/>
  <c r="AE52" i="18"/>
  <c r="AF52" i="18"/>
  <c r="AG52" i="18"/>
  <c r="AH52" i="18"/>
  <c r="AI52" i="18"/>
  <c r="AE53" i="18"/>
  <c r="AF53" i="18"/>
  <c r="AG53" i="18"/>
  <c r="AH53" i="18"/>
  <c r="AI53" i="18"/>
  <c r="AE54" i="18"/>
  <c r="AF54" i="18"/>
  <c r="AG54" i="18"/>
  <c r="AH54" i="18"/>
  <c r="AI54" i="18"/>
  <c r="AE55" i="18"/>
  <c r="AF55" i="18"/>
  <c r="AG55" i="18"/>
  <c r="AH55" i="18"/>
  <c r="AI55" i="18"/>
  <c r="AE56" i="18"/>
  <c r="AF56" i="18"/>
  <c r="AG56" i="18"/>
  <c r="AH56" i="18"/>
  <c r="AI56" i="18"/>
  <c r="AE57" i="18"/>
  <c r="AF57" i="18"/>
  <c r="AG57" i="18"/>
  <c r="AH57" i="18"/>
  <c r="AI57" i="18"/>
  <c r="AE5" i="17"/>
  <c r="AF5" i="17"/>
  <c r="AG5" i="17"/>
  <c r="AH5" i="17"/>
  <c r="AI5" i="17"/>
  <c r="AE6" i="17"/>
  <c r="AF6" i="17"/>
  <c r="AG6" i="17"/>
  <c r="AH6" i="17"/>
  <c r="AI6" i="17"/>
  <c r="AE7" i="17"/>
  <c r="AF7" i="17"/>
  <c r="AG7" i="17"/>
  <c r="AH7" i="17"/>
  <c r="AI7" i="17"/>
  <c r="AE8" i="17"/>
  <c r="AF8" i="17"/>
  <c r="AG8" i="17"/>
  <c r="AH8" i="17"/>
  <c r="AI8" i="17"/>
  <c r="AE9" i="17"/>
  <c r="AF9" i="17"/>
  <c r="AG9" i="17"/>
  <c r="AH9" i="17"/>
  <c r="AI9" i="17"/>
  <c r="AE10" i="17"/>
  <c r="AF10" i="17"/>
  <c r="AG10" i="17"/>
  <c r="AH10" i="17"/>
  <c r="AI10" i="17"/>
  <c r="AE11" i="17"/>
  <c r="AF11" i="17"/>
  <c r="AG11" i="17"/>
  <c r="AH11" i="17"/>
  <c r="AI11" i="17"/>
  <c r="AE12" i="17"/>
  <c r="AF12" i="17"/>
  <c r="AG12" i="17"/>
  <c r="AH12" i="17"/>
  <c r="AI12" i="17"/>
  <c r="AE13" i="17"/>
  <c r="AF13" i="17"/>
  <c r="AG13" i="17"/>
  <c r="AH13" i="17"/>
  <c r="AI13" i="17"/>
  <c r="AE14" i="17"/>
  <c r="AF14" i="17"/>
  <c r="AG14" i="17"/>
  <c r="AH14" i="17"/>
  <c r="AI14" i="17"/>
  <c r="AE15" i="17"/>
  <c r="AF15" i="17"/>
  <c r="AG15" i="17"/>
  <c r="AH15" i="17"/>
  <c r="AI15" i="17"/>
  <c r="AF16" i="17"/>
  <c r="AG16" i="17"/>
  <c r="AH16" i="17"/>
  <c r="AI16" i="17"/>
  <c r="AE17" i="17"/>
  <c r="AF17" i="17"/>
  <c r="AG17" i="17"/>
  <c r="AH17" i="17"/>
  <c r="AI17" i="17"/>
  <c r="AE18" i="17"/>
  <c r="AF18" i="17"/>
  <c r="AG18" i="17"/>
  <c r="AH18" i="17"/>
  <c r="AI18" i="17"/>
  <c r="AE19" i="17"/>
  <c r="AF19" i="17"/>
  <c r="AG19" i="17"/>
  <c r="AH19" i="17"/>
  <c r="AI19" i="17"/>
  <c r="AE20" i="17"/>
  <c r="AF20" i="17"/>
  <c r="AG20" i="17"/>
  <c r="AH20" i="17"/>
  <c r="AI20" i="17"/>
  <c r="AE21" i="17"/>
  <c r="AF21" i="17"/>
  <c r="AG21" i="17"/>
  <c r="AH21" i="17"/>
  <c r="AI21" i="17"/>
  <c r="AE22" i="17"/>
  <c r="AF22" i="17"/>
  <c r="AG22" i="17"/>
  <c r="AH22" i="17"/>
  <c r="AI22" i="17"/>
  <c r="AE23" i="17"/>
  <c r="AF23" i="17"/>
  <c r="AG23" i="17"/>
  <c r="AH23" i="17"/>
  <c r="AI23" i="17"/>
  <c r="AE24" i="17"/>
  <c r="AF24" i="17"/>
  <c r="AG24" i="17"/>
  <c r="AH24" i="17"/>
  <c r="AI24" i="17"/>
  <c r="AE25" i="17"/>
  <c r="AF25" i="17"/>
  <c r="AG25" i="17"/>
  <c r="AH25" i="17"/>
  <c r="AI25" i="17"/>
  <c r="AE26" i="17"/>
  <c r="AF26" i="17"/>
  <c r="AG26" i="17"/>
  <c r="AH26" i="17"/>
  <c r="AI26" i="17"/>
  <c r="AE27" i="17"/>
  <c r="AF27" i="17"/>
  <c r="AG27" i="17"/>
  <c r="AH27" i="17"/>
  <c r="AI27" i="17"/>
  <c r="AE28" i="17"/>
  <c r="AF28" i="17"/>
  <c r="AG28" i="17"/>
  <c r="AH28" i="17"/>
  <c r="AI28" i="17"/>
  <c r="AE29" i="17"/>
  <c r="AF29" i="17"/>
  <c r="AG29" i="17"/>
  <c r="AH29" i="17"/>
  <c r="AI29" i="17"/>
  <c r="AE30" i="17"/>
  <c r="AF30" i="17"/>
  <c r="AG30" i="17"/>
  <c r="AH30" i="17"/>
  <c r="AI30" i="17"/>
  <c r="AE31" i="17"/>
  <c r="AF31" i="17"/>
  <c r="AG31" i="17"/>
  <c r="AH31" i="17"/>
  <c r="AI31" i="17"/>
  <c r="AE32" i="17"/>
  <c r="AF32" i="17"/>
  <c r="AG32" i="17"/>
  <c r="AH32" i="17"/>
  <c r="AI32" i="17"/>
  <c r="AE33" i="17"/>
  <c r="AF33" i="17"/>
  <c r="AG33" i="17"/>
  <c r="AH33" i="17"/>
  <c r="AI33" i="17"/>
  <c r="AE34" i="17"/>
  <c r="AF34" i="17"/>
  <c r="AG34" i="17"/>
  <c r="AH34" i="17"/>
  <c r="AI34" i="17"/>
  <c r="AE35" i="17"/>
  <c r="AF35" i="17"/>
  <c r="AG35" i="17"/>
  <c r="AH35" i="17"/>
  <c r="AI35" i="17"/>
  <c r="AE36" i="17"/>
  <c r="AF36" i="17"/>
  <c r="AG36" i="17"/>
  <c r="AH36" i="17"/>
  <c r="AI36" i="17"/>
  <c r="AE37" i="17"/>
  <c r="AF37" i="17"/>
  <c r="AG37" i="17"/>
  <c r="AH37" i="17"/>
  <c r="AI37" i="17"/>
  <c r="AE38" i="17"/>
  <c r="AF38" i="17"/>
  <c r="AG38" i="17"/>
  <c r="AH38" i="17"/>
  <c r="AI38" i="17"/>
  <c r="AE39" i="17"/>
  <c r="AF39" i="17"/>
  <c r="AG39" i="17"/>
  <c r="AH39" i="17"/>
  <c r="AI39" i="17"/>
  <c r="AE40" i="17"/>
  <c r="AF40" i="17"/>
  <c r="AG40" i="17"/>
  <c r="AH40" i="17"/>
  <c r="AI40" i="17"/>
  <c r="AE41" i="17"/>
  <c r="AF41" i="17"/>
  <c r="AG41" i="17"/>
  <c r="AH41" i="17"/>
  <c r="AI41" i="17"/>
  <c r="AE42" i="17"/>
  <c r="AF42" i="17"/>
  <c r="AG42" i="17"/>
  <c r="AH42" i="17"/>
  <c r="AI42" i="17"/>
  <c r="AE43" i="17"/>
  <c r="AF43" i="17"/>
  <c r="AG43" i="17"/>
  <c r="AH43" i="17"/>
  <c r="AI43" i="17"/>
  <c r="AE44" i="17"/>
  <c r="AF44" i="17"/>
  <c r="AG44" i="17"/>
  <c r="AH44" i="17"/>
  <c r="AI44" i="17"/>
  <c r="AE45" i="17"/>
  <c r="AF45" i="17"/>
  <c r="AG45" i="17"/>
  <c r="AH45" i="17"/>
  <c r="AI45" i="17"/>
  <c r="AE47" i="17"/>
  <c r="AF47" i="17"/>
  <c r="AG47" i="17"/>
  <c r="AH47" i="17"/>
  <c r="AI47" i="17"/>
  <c r="AE48" i="17"/>
  <c r="AF48" i="17"/>
  <c r="AG48" i="17"/>
  <c r="AH48" i="17"/>
  <c r="AI48" i="17"/>
  <c r="AE49" i="17"/>
  <c r="AF49" i="17"/>
  <c r="AG49" i="17"/>
  <c r="AH49" i="17"/>
  <c r="AI49" i="17"/>
  <c r="AE50" i="17"/>
  <c r="AF50" i="17"/>
  <c r="AG50" i="17"/>
  <c r="AH50" i="17"/>
  <c r="AI50" i="17"/>
  <c r="AE51" i="17"/>
  <c r="AF51" i="17"/>
  <c r="AG51" i="17"/>
  <c r="AH51" i="17"/>
  <c r="AI51" i="17"/>
  <c r="AE52" i="17"/>
  <c r="AF52" i="17"/>
  <c r="AG52" i="17"/>
  <c r="AH52" i="17"/>
  <c r="AI52" i="17"/>
  <c r="AE53" i="17"/>
  <c r="AF53" i="17"/>
  <c r="AG53" i="17"/>
  <c r="AH53" i="17"/>
  <c r="AI53" i="17"/>
  <c r="AE54" i="17"/>
  <c r="AF54" i="17"/>
  <c r="AG54" i="17"/>
  <c r="AH54" i="17"/>
  <c r="AI54" i="17"/>
  <c r="AE55" i="17"/>
  <c r="AF55" i="17"/>
  <c r="AG55" i="17"/>
  <c r="AH55" i="17"/>
  <c r="AI55" i="17"/>
  <c r="AE56" i="17"/>
  <c r="AF56" i="17"/>
  <c r="AG56" i="17"/>
  <c r="AH56" i="17"/>
  <c r="AI56" i="17"/>
  <c r="AE57" i="17"/>
  <c r="AF57" i="17"/>
  <c r="AG57" i="17"/>
  <c r="AH57" i="17"/>
  <c r="AI57" i="17"/>
  <c r="AI15" i="16"/>
  <c r="AI4" i="17"/>
  <c r="AH4" i="17"/>
  <c r="AG4" i="17"/>
  <c r="AF4" i="17"/>
  <c r="AH36" i="16"/>
  <c r="AH18" i="16"/>
  <c r="AH20" i="16"/>
  <c r="AH8" i="16"/>
  <c r="AH9" i="16"/>
  <c r="AH10" i="16"/>
  <c r="AH11" i="16"/>
  <c r="AH12" i="16"/>
  <c r="AH26" i="16"/>
  <c r="AH38" i="16"/>
  <c r="AH16" i="16"/>
  <c r="AH17" i="16"/>
  <c r="AH19" i="16"/>
  <c r="AH5" i="16"/>
  <c r="AH21" i="16"/>
  <c r="AH22" i="16"/>
  <c r="AH23" i="16"/>
  <c r="AH24" i="16"/>
  <c r="AH25" i="16"/>
  <c r="AH6" i="16"/>
  <c r="AH40" i="16"/>
  <c r="AH7" i="16"/>
  <c r="AH27" i="16"/>
  <c r="AH30" i="16"/>
  <c r="AH28" i="16"/>
  <c r="AH29" i="16"/>
  <c r="AH31" i="16"/>
  <c r="AH34" i="16"/>
  <c r="AH13" i="16"/>
  <c r="AH32" i="16"/>
  <c r="AH37" i="16"/>
  <c r="AH14" i="16"/>
  <c r="AH33" i="16"/>
  <c r="AH39" i="16"/>
  <c r="AH35" i="16"/>
  <c r="AH41" i="16"/>
  <c r="AH42" i="16"/>
  <c r="AH43" i="16"/>
  <c r="AH44" i="16"/>
  <c r="AH45" i="16"/>
  <c r="AH46" i="16"/>
  <c r="AH47" i="16"/>
  <c r="AH48" i="16"/>
  <c r="AH49" i="16"/>
  <c r="AH50" i="16"/>
  <c r="AH51" i="16"/>
  <c r="AH52" i="16"/>
  <c r="AH53" i="16"/>
  <c r="AH54" i="16"/>
  <c r="AH55" i="16"/>
  <c r="AH56" i="16"/>
  <c r="AH57" i="16"/>
  <c r="AH58" i="16"/>
  <c r="AI20" i="5"/>
  <c r="AI36" i="16"/>
  <c r="AI18" i="16"/>
  <c r="AI20" i="16"/>
  <c r="AI8" i="16"/>
  <c r="AI9" i="16"/>
  <c r="AI10" i="16"/>
  <c r="AI11" i="16"/>
  <c r="AI12" i="16"/>
  <c r="AI26" i="16"/>
  <c r="AI38" i="16"/>
  <c r="AI16" i="16"/>
  <c r="AI17" i="16"/>
  <c r="AI4" i="16"/>
  <c r="AI19" i="16"/>
  <c r="AI5" i="16"/>
  <c r="AI21" i="16"/>
  <c r="AI22" i="16"/>
  <c r="AI23" i="16"/>
  <c r="AI24" i="16"/>
  <c r="AI25" i="16"/>
  <c r="AI6" i="16"/>
  <c r="AI40" i="16"/>
  <c r="AI7" i="16"/>
  <c r="AI27" i="16"/>
  <c r="AI30" i="16"/>
  <c r="AI28" i="16"/>
  <c r="AI29" i="16"/>
  <c r="AI31" i="16"/>
  <c r="AI34" i="16"/>
  <c r="AI13" i="16"/>
  <c r="AI32" i="16"/>
  <c r="AI37" i="16"/>
  <c r="AI14" i="16"/>
  <c r="AI33" i="16"/>
  <c r="AI39" i="16"/>
  <c r="AI35" i="16"/>
  <c r="AI41" i="16"/>
  <c r="AI42" i="16"/>
  <c r="AI43" i="16"/>
  <c r="AI44" i="16"/>
  <c r="AI45" i="16"/>
  <c r="AI46" i="16"/>
  <c r="AI47" i="16"/>
  <c r="AI48" i="16"/>
  <c r="AI49" i="16"/>
  <c r="AI50" i="16"/>
  <c r="AI51" i="16"/>
  <c r="AI52" i="16"/>
  <c r="AI53" i="16"/>
  <c r="AI54" i="16"/>
  <c r="AI55" i="16"/>
  <c r="AI56" i="16"/>
  <c r="AI57" i="16"/>
  <c r="AI58" i="16"/>
  <c r="AF36" i="16"/>
  <c r="AG36" i="16"/>
  <c r="AF18" i="16"/>
  <c r="AG18" i="16"/>
  <c r="AF20" i="16"/>
  <c r="AG20" i="16"/>
  <c r="AF8" i="16"/>
  <c r="AG8" i="16"/>
  <c r="AF9" i="16"/>
  <c r="AG9" i="16"/>
  <c r="AF10" i="16"/>
  <c r="AG10" i="16"/>
  <c r="AF11" i="16"/>
  <c r="AG11" i="16"/>
  <c r="AF12" i="16"/>
  <c r="AG12" i="16"/>
  <c r="AF26" i="16"/>
  <c r="AG26" i="16"/>
  <c r="AF38" i="16"/>
  <c r="AG38" i="16"/>
  <c r="AF16" i="16"/>
  <c r="AG16" i="16"/>
  <c r="AF17" i="16"/>
  <c r="AG17" i="16"/>
  <c r="AF4" i="16"/>
  <c r="AG4" i="16"/>
  <c r="AF19" i="16"/>
  <c r="AG19" i="16"/>
  <c r="AF5" i="16"/>
  <c r="AG5" i="16"/>
  <c r="AF21" i="16"/>
  <c r="AG21" i="16"/>
  <c r="AF22" i="16"/>
  <c r="AG22" i="16"/>
  <c r="AF23" i="16"/>
  <c r="AG23" i="16"/>
  <c r="AF24" i="16"/>
  <c r="AG24" i="16"/>
  <c r="AF25" i="16"/>
  <c r="AG25" i="16"/>
  <c r="AF6" i="16"/>
  <c r="AG6" i="16"/>
  <c r="AF40" i="16"/>
  <c r="AG40" i="16"/>
  <c r="AF7" i="16"/>
  <c r="AG7" i="16"/>
  <c r="AF27" i="16"/>
  <c r="AG27" i="16"/>
  <c r="AF30" i="16"/>
  <c r="AG30" i="16"/>
  <c r="AF28" i="16"/>
  <c r="AG28" i="16"/>
  <c r="AF29" i="16"/>
  <c r="AG29" i="16"/>
  <c r="AF31" i="16"/>
  <c r="AG31" i="16"/>
  <c r="AF34" i="16"/>
  <c r="AG34" i="16"/>
  <c r="AF13" i="16"/>
  <c r="AG13" i="16"/>
  <c r="AF32" i="16"/>
  <c r="AG32" i="16"/>
  <c r="AF37" i="16"/>
  <c r="AG37" i="16"/>
  <c r="AF14" i="16"/>
  <c r="AG14" i="16"/>
  <c r="AF33" i="16"/>
  <c r="AG33" i="16"/>
  <c r="AF39" i="16"/>
  <c r="AG39" i="16"/>
  <c r="AF35" i="16"/>
  <c r="AG35" i="16"/>
  <c r="AF41" i="16"/>
  <c r="AG41" i="16"/>
  <c r="AF42" i="16"/>
  <c r="AG42" i="16"/>
  <c r="AF43" i="16"/>
  <c r="AG43" i="16"/>
  <c r="AF44" i="16"/>
  <c r="AG44" i="16"/>
  <c r="AF45" i="16"/>
  <c r="AG45" i="16"/>
  <c r="AE46" i="16"/>
  <c r="AF46" i="16"/>
  <c r="AG46" i="16"/>
  <c r="AE47" i="16"/>
  <c r="AF47" i="16"/>
  <c r="AG47" i="16"/>
  <c r="AE48" i="16"/>
  <c r="AF48" i="16"/>
  <c r="AG48" i="16"/>
  <c r="AE49" i="16"/>
  <c r="AF49" i="16"/>
  <c r="AG49" i="16"/>
  <c r="AE50" i="16"/>
  <c r="AF50" i="16"/>
  <c r="AG50" i="16"/>
  <c r="AE51" i="16"/>
  <c r="AF51" i="16"/>
  <c r="AG51" i="16"/>
  <c r="AE52" i="16"/>
  <c r="AF52" i="16"/>
  <c r="AG52" i="16"/>
  <c r="AE53" i="16"/>
  <c r="AF53" i="16"/>
  <c r="AG53" i="16"/>
  <c r="AE54" i="16"/>
  <c r="AF54" i="16"/>
  <c r="AG54" i="16"/>
  <c r="AE55" i="16"/>
  <c r="AF55" i="16"/>
  <c r="AG55" i="16"/>
  <c r="AE56" i="16"/>
  <c r="AF56" i="16"/>
  <c r="AG56" i="16"/>
  <c r="AE57" i="16"/>
  <c r="AF57" i="16"/>
  <c r="AG57" i="16"/>
  <c r="AE58" i="16"/>
  <c r="AF58" i="16"/>
  <c r="AG58" i="16"/>
  <c r="AG15" i="16"/>
  <c r="AF15" i="16"/>
  <c r="AH20" i="5"/>
  <c r="AG20" i="5"/>
  <c r="AE20" i="5"/>
  <c r="AE1" i="17"/>
  <c r="B46" i="17"/>
  <c r="B47" i="17"/>
  <c r="B48" i="17"/>
  <c r="B49" i="17"/>
  <c r="B50" i="17"/>
  <c r="B51" i="17"/>
  <c r="V10" i="9"/>
  <c r="V11" i="9"/>
  <c r="V12" i="9"/>
  <c r="V13" i="9"/>
  <c r="V17" i="9"/>
  <c r="V18" i="9"/>
  <c r="V19" i="9"/>
  <c r="V20" i="9"/>
  <c r="V25" i="9"/>
  <c r="V26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AG4" i="18"/>
  <c r="AH15" i="16"/>
  <c r="V27" i="9"/>
  <c r="V15" i="9"/>
  <c r="V9" i="9"/>
  <c r="V8" i="9"/>
  <c r="V7" i="9"/>
  <c r="V6" i="9"/>
  <c r="AE21" i="5"/>
  <c r="AI21" i="5"/>
  <c r="G4" i="9"/>
  <c r="W4" i="9"/>
  <c r="V4" i="9"/>
  <c r="AH4" i="18"/>
  <c r="AI4" i="18"/>
</calcChain>
</file>

<file path=xl/sharedStrings.xml><?xml version="1.0" encoding="utf-8"?>
<sst xmlns="http://schemas.openxmlformats.org/spreadsheetml/2006/main" count="2648" uniqueCount="114">
  <si>
    <t>NO</t>
  </si>
  <si>
    <t>ADI SOYADI</t>
  </si>
  <si>
    <t>PAZARTESİ</t>
  </si>
  <si>
    <t>SABAH</t>
  </si>
  <si>
    <t>YATSI</t>
  </si>
  <si>
    <t>SALI</t>
  </si>
  <si>
    <t>ÇARŞAMBA</t>
  </si>
  <si>
    <t>PERŞEMBE</t>
  </si>
  <si>
    <t>CUMA</t>
  </si>
  <si>
    <t>NAMAZ</t>
  </si>
  <si>
    <t>GENEL</t>
  </si>
  <si>
    <t>PAZAR</t>
  </si>
  <si>
    <t>SABAH NAMAZI PROGRAMLARI</t>
  </si>
  <si>
    <t>YATSI NAMAZI PROGRAMLARI</t>
  </si>
  <si>
    <t>SABAH-1</t>
  </si>
  <si>
    <t>SABAH-2</t>
  </si>
  <si>
    <t>SABAH-3</t>
  </si>
  <si>
    <t>SABAH-4</t>
  </si>
  <si>
    <t>YATSI-1</t>
  </si>
  <si>
    <t>YATSI-2</t>
  </si>
  <si>
    <t>YATSI-3</t>
  </si>
  <si>
    <t>YATSI-4</t>
  </si>
  <si>
    <t>HAFTALIK ORTALAMALAR</t>
  </si>
  <si>
    <t xml:space="preserve"> 4.HAFTA</t>
  </si>
  <si>
    <t xml:space="preserve"> 3.HAFTA</t>
  </si>
  <si>
    <t xml:space="preserve"> GENEL</t>
  </si>
  <si>
    <t xml:space="preserve"> 2.HAFTA</t>
  </si>
  <si>
    <t>CUMARTESİ</t>
  </si>
  <si>
    <t>4.HAFTA ORTALAMALAR</t>
  </si>
  <si>
    <t>3.HAFTA ORTALAMALAR</t>
  </si>
  <si>
    <t>2.HAFTA ORTALAMALAR</t>
  </si>
  <si>
    <t>1.HAFTA ORTALAMALAR</t>
  </si>
  <si>
    <t>İ</t>
  </si>
  <si>
    <t>N</t>
  </si>
  <si>
    <t>İZİNLİ</t>
  </si>
  <si>
    <t>NÖBETÇİ</t>
  </si>
  <si>
    <t>VAR</t>
  </si>
  <si>
    <t>YOK</t>
  </si>
  <si>
    <t>NOT:</t>
  </si>
  <si>
    <t>Muhterem Hocam 1.HAFTAYA talebelerimizin isimlerini yazmamız yeterli. İsimler otomatik olarak diğer haftalara aktarılacaktır.</t>
  </si>
  <si>
    <t>Amsterdam Saray</t>
  </si>
  <si>
    <t>AKŞAM</t>
  </si>
  <si>
    <t xml:space="preserve"> 1.HAFTA</t>
  </si>
  <si>
    <t>AKŞAM-1</t>
  </si>
  <si>
    <t>AKŞAM-2</t>
  </si>
  <si>
    <t>AKŞAM-3</t>
  </si>
  <si>
    <t>AKŞAM-4</t>
  </si>
  <si>
    <t>O</t>
  </si>
  <si>
    <t>OKUL</t>
  </si>
  <si>
    <t>AKŞAM NAMAZI PROĞRAMLARI</t>
  </si>
  <si>
    <t>AKŞAM NAMAI PROĞRAMLARI</t>
  </si>
  <si>
    <t>0 (SIFIR)</t>
  </si>
  <si>
    <t>HATİM</t>
  </si>
  <si>
    <t>B</t>
  </si>
  <si>
    <t>R</t>
  </si>
  <si>
    <t>Ammaar Ahmad</t>
  </si>
  <si>
    <t>Ekrem Altıntaş</t>
  </si>
  <si>
    <t>Yakup Karazehir</t>
  </si>
  <si>
    <t>Ahmet Enes Küçüktepe</t>
  </si>
  <si>
    <t>Burhan Çevik</t>
  </si>
  <si>
    <t>Enes Bakar</t>
  </si>
  <si>
    <t>Hüseyin Özdemir</t>
  </si>
  <si>
    <t>Yahya Yıldız</t>
  </si>
  <si>
    <t>Abdulkerim Karazehir</t>
  </si>
  <si>
    <t>Abdussamed Erdem</t>
  </si>
  <si>
    <t>Ahmet Kökçü</t>
  </si>
  <si>
    <t>Fatih Burcu</t>
  </si>
  <si>
    <t>Melih Taş</t>
  </si>
  <si>
    <t>Tunahan Altun</t>
  </si>
  <si>
    <t>Yusuf Can Nas</t>
  </si>
  <si>
    <t>Yusuf Emin Doğan</t>
  </si>
  <si>
    <t>Abdussamed Arslan</t>
  </si>
  <si>
    <t>Ahmet Doğan</t>
  </si>
  <si>
    <t>Cihan Boorsma</t>
  </si>
  <si>
    <t>Fehmi Kütük</t>
  </si>
  <si>
    <t>Mehmethan Gür</t>
  </si>
  <si>
    <t>Melih Uzun</t>
  </si>
  <si>
    <t>Oğuzhan Üzümcü</t>
  </si>
  <si>
    <t>Orhan Boyacıoğlu</t>
  </si>
  <si>
    <t>Osman Sevilir</t>
  </si>
  <si>
    <t>Salih Gedik</t>
  </si>
  <si>
    <t>Usame Alışkan</t>
  </si>
  <si>
    <t>Ahmet Boyacıoğlu</t>
  </si>
  <si>
    <t>Salih Fidan</t>
  </si>
  <si>
    <t>HATIM 1</t>
  </si>
  <si>
    <t>HATIM 2</t>
  </si>
  <si>
    <t>HATIM 3</t>
  </si>
  <si>
    <t>HATIM 4</t>
  </si>
  <si>
    <t>h</t>
  </si>
  <si>
    <t xml:space="preserve"> </t>
  </si>
  <si>
    <t>rahtsis</t>
  </si>
  <si>
    <t>hasta</t>
  </si>
  <si>
    <t>BANCO</t>
  </si>
  <si>
    <t>Abdullah Koşar</t>
  </si>
  <si>
    <t>Alihan Uysal</t>
  </si>
  <si>
    <t>Emirhan Sak</t>
  </si>
  <si>
    <t>Eymen Göğebakan</t>
  </si>
  <si>
    <t>Mehmet Sak</t>
  </si>
  <si>
    <t>Mohammed Abdi Hakim</t>
  </si>
  <si>
    <t>Rıdvan Sönmez</t>
  </si>
  <si>
    <t>Tayyip Sönmez</t>
  </si>
  <si>
    <t>Waffi Talib</t>
  </si>
  <si>
    <t>Berat Basan</t>
  </si>
  <si>
    <t>Mucahit Kan</t>
  </si>
  <si>
    <t>Mehmet Cakmak</t>
  </si>
  <si>
    <t>Ahmet Arif Ozmen</t>
  </si>
  <si>
    <t xml:space="preserve">         TALEBE TAKİP SİSTEMİ 2024-2025</t>
  </si>
  <si>
    <t>Rasit Aldirmaz</t>
  </si>
  <si>
    <t>I</t>
  </si>
  <si>
    <t>i</t>
  </si>
  <si>
    <t>y</t>
  </si>
  <si>
    <t>s</t>
  </si>
  <si>
    <t>o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</si>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</sst>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charset val="162"/>
      <scheme val="minor"/>
    </font>
    <font>
      <sz val="14"/>
      <color rgb="FFC00000"/>
      <name val="Tekton Pro Ext"/>
      <family val="2"/>
    </font>
    <font>
      <sz val="8"/>
      <color theme="0"/>
      <name val="Toledo"/>
    </font>
    <font>
      <b/>
      <sz val="11"/>
      <color rgb="FFC0000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9"/>
      <color rgb="FF0A0264"/>
      <name val="Calibri"/>
      <family val="2"/>
      <charset val="162"/>
      <scheme val="minor"/>
    </font>
    <font>
      <sz val="9"/>
      <color theme="1"/>
      <name val="Franklin Gothic Demi Cond"/>
      <family val="2"/>
      <charset val="162"/>
    </font>
    <font>
      <sz val="11"/>
      <color theme="1"/>
      <name val="Franklin Gothic Demi Cond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8"/>
      <color rgb="FFFF0000"/>
      <name val="Toledo"/>
      <charset val="162"/>
    </font>
    <font>
      <b/>
      <sz val="9"/>
      <color theme="0"/>
      <name val="Toledo"/>
      <charset val="162"/>
    </font>
    <font>
      <b/>
      <sz val="11"/>
      <color theme="1"/>
      <name val="Calibri"/>
      <family val="2"/>
      <charset val="162"/>
      <scheme val="minor"/>
    </font>
    <font>
      <b/>
      <sz val="8"/>
      <color theme="0"/>
      <name val="Toledo"/>
    </font>
    <font>
      <b/>
      <sz val="10"/>
      <color rgb="FFFF0000"/>
      <name val="Toledo"/>
      <charset val="162"/>
    </font>
    <font>
      <sz val="10"/>
      <color theme="0"/>
      <name val="Toledo"/>
    </font>
    <font>
      <b/>
      <sz val="10"/>
      <color theme="0"/>
      <name val="Toledo"/>
    </font>
    <font>
      <b/>
      <sz val="10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22"/>
      <color rgb="FFC00000"/>
      <name val="Calibri"/>
      <family val="2"/>
      <charset val="162"/>
      <scheme val="minor"/>
    </font>
    <font>
      <b/>
      <sz val="22"/>
      <color rgb="FFC00000"/>
      <name val="Calibri"/>
      <family val="2"/>
      <charset val="162"/>
      <scheme val="minor"/>
    </font>
    <font>
      <b/>
      <sz val="14"/>
      <color rgb="FF004DE6"/>
      <name val="Calibri"/>
      <family val="2"/>
      <charset val="162"/>
      <scheme val="minor"/>
    </font>
    <font>
      <b/>
      <sz val="8"/>
      <color rgb="FFFFFFCC"/>
      <name val="Toledo"/>
    </font>
    <font>
      <b/>
      <sz val="8"/>
      <color rgb="FFFFFFCC"/>
      <name val="Calibri"/>
      <family val="2"/>
      <charset val="16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9"/>
      <name val="Calibri"/>
      <family val="2"/>
      <charset val="162"/>
      <scheme val="minor"/>
    </font>
  </fonts>
  <fills count="17">
    <fill>
      <patternFill patternType="none"/>
    </fill>
    <fill>
      <patternFill patternType="gray125"/>
    </fill>
    <fill>
      <gradientFill type="path">
        <stop position="0">
          <color theme="0"/>
        </stop>
        <stop position="1">
          <color rgb="FF002060"/>
        </stop>
      </gradientFill>
    </fill>
    <fill>
      <patternFill patternType="solid">
        <fgColor theme="0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640000"/>
        </stop>
      </gradientFill>
    </fill>
    <fill>
      <gradientFill degree="90">
        <stop position="0">
          <color theme="1"/>
        </stop>
        <stop position="0.5">
          <color rgb="FF0A0264"/>
        </stop>
        <stop position="1">
          <color theme="1"/>
        </stop>
      </gradientFill>
    </fill>
    <fill>
      <patternFill patternType="solid">
        <fgColor rgb="FFC00000"/>
        <bgColor indexed="64"/>
      </patternFill>
    </fill>
    <fill>
      <patternFill patternType="solid">
        <fgColor theme="6" tint="-0.499984740745262"/>
        <bgColor auto="1"/>
      </patternFill>
    </fill>
    <fill>
      <patternFill patternType="solid">
        <fgColor theme="9" tint="-0.499984740745262"/>
        <bgColor auto="1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4DE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auto="1"/>
      </patternFill>
    </fill>
    <fill>
      <patternFill patternType="solid">
        <fgColor theme="9" tint="-0.249977111117893"/>
        <bgColor auto="1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0A0264"/>
      </left>
      <right style="thin">
        <color rgb="FF0A0264"/>
      </right>
      <top style="thin">
        <color rgb="FF0A0264"/>
      </top>
      <bottom style="thin">
        <color rgb="FF0A0264"/>
      </bottom>
      <diagonal/>
    </border>
    <border>
      <left style="thin">
        <color rgb="FF0A0264"/>
      </left>
      <right style="thin">
        <color rgb="FF0A0264"/>
      </right>
      <top style="thin">
        <color rgb="FF0A0264"/>
      </top>
      <bottom style="thin">
        <color rgb="FF0A0264"/>
      </bottom>
      <diagonal/>
    </border>
    <border>
      <left style="medium">
        <color rgb="FF0A0264"/>
      </left>
      <right style="thin">
        <color rgb="FF0A0264"/>
      </right>
      <top/>
      <bottom style="thin">
        <color rgb="FF0A0264"/>
      </bottom>
      <diagonal/>
    </border>
    <border>
      <left style="thin">
        <color rgb="FF0A0264"/>
      </left>
      <right style="thin">
        <color rgb="FF0A0264"/>
      </right>
      <top/>
      <bottom style="thin">
        <color rgb="FF0A0264"/>
      </bottom>
      <diagonal/>
    </border>
    <border>
      <left style="medium">
        <color rgb="FF0A0264"/>
      </left>
      <right/>
      <top style="medium">
        <color rgb="FF0A0264"/>
      </top>
      <bottom style="thin">
        <color indexed="64"/>
      </bottom>
      <diagonal/>
    </border>
    <border>
      <left/>
      <right/>
      <top style="medium">
        <color rgb="FF0A0264"/>
      </top>
      <bottom style="thin">
        <color indexed="64"/>
      </bottom>
      <diagonal/>
    </border>
    <border>
      <left style="thin">
        <color theme="0"/>
      </left>
      <right/>
      <top style="medium">
        <color rgb="FF0A0264"/>
      </top>
      <bottom style="thin">
        <color theme="0"/>
      </bottom>
      <diagonal/>
    </border>
    <border>
      <left/>
      <right/>
      <top style="medium">
        <color rgb="FF0A0264"/>
      </top>
      <bottom style="thin">
        <color theme="0"/>
      </bottom>
      <diagonal/>
    </border>
    <border>
      <left/>
      <right style="thin">
        <color theme="0"/>
      </right>
      <top style="medium">
        <color rgb="FF0A0264"/>
      </top>
      <bottom style="thin">
        <color theme="0"/>
      </bottom>
      <diagonal/>
    </border>
    <border>
      <left style="medium">
        <color rgb="FF0A0264"/>
      </left>
      <right style="thin">
        <color indexed="64"/>
      </right>
      <top style="thin">
        <color indexed="64"/>
      </top>
      <bottom style="thin">
        <color rgb="FF0A02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A0264"/>
      </bottom>
      <diagonal/>
    </border>
    <border>
      <left style="thin">
        <color indexed="64"/>
      </left>
      <right style="thin">
        <color indexed="64"/>
      </right>
      <top/>
      <bottom style="thin">
        <color rgb="FF0A02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rgb="FF0A0264"/>
      </bottom>
      <diagonal/>
    </border>
    <border>
      <left style="thin">
        <color indexed="64"/>
      </left>
      <right/>
      <top/>
      <bottom style="thin">
        <color rgb="FF0A0264"/>
      </bottom>
      <diagonal/>
    </border>
    <border>
      <left style="medium">
        <color rgb="FF0A0264"/>
      </left>
      <right style="thin">
        <color rgb="FF0A0264"/>
      </right>
      <top style="medium">
        <color rgb="FF0A0264"/>
      </top>
      <bottom style="thin">
        <color rgb="FF0A0264"/>
      </bottom>
      <diagonal/>
    </border>
    <border>
      <left style="thin">
        <color rgb="FF0A0264"/>
      </left>
      <right style="thin">
        <color rgb="FF0A0264"/>
      </right>
      <top style="medium">
        <color rgb="FF0A0264"/>
      </top>
      <bottom style="thin">
        <color rgb="FF0A0264"/>
      </bottom>
      <diagonal/>
    </border>
    <border>
      <left style="thin">
        <color rgb="FF0A0264"/>
      </left>
      <right style="medium">
        <color rgb="FF0A0264"/>
      </right>
      <top style="thin">
        <color theme="0"/>
      </top>
      <bottom style="thin">
        <color rgb="FF0A0264"/>
      </bottom>
      <diagonal/>
    </border>
    <border>
      <left style="thin">
        <color rgb="FF0A0264"/>
      </left>
      <right style="thin">
        <color rgb="FF0A0264"/>
      </right>
      <top style="thin">
        <color theme="0"/>
      </top>
      <bottom style="thin">
        <color rgb="FF0A02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A02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A0264"/>
      </right>
      <top style="thin">
        <color rgb="FF0A0264"/>
      </top>
      <bottom style="thin">
        <color indexed="64"/>
      </bottom>
      <diagonal/>
    </border>
    <border>
      <left style="thin">
        <color rgb="FF0A0264"/>
      </left>
      <right style="thin">
        <color rgb="FF0A0264"/>
      </right>
      <top style="thin">
        <color rgb="FF0A0264"/>
      </top>
      <bottom style="thin">
        <color indexed="64"/>
      </bottom>
      <diagonal/>
    </border>
    <border>
      <left style="thin">
        <color rgb="FF0A0264"/>
      </left>
      <right style="medium">
        <color rgb="FF0A0264"/>
      </right>
      <top style="thin">
        <color rgb="FF0A0264"/>
      </top>
      <bottom style="thin">
        <color indexed="64"/>
      </bottom>
      <diagonal/>
    </border>
    <border>
      <left style="medium">
        <color rgb="FF0A0264"/>
      </left>
      <right style="thin">
        <color indexed="64"/>
      </right>
      <top style="thin">
        <color rgb="FF0A0264"/>
      </top>
      <bottom style="thin">
        <color rgb="FF0A0264"/>
      </bottom>
      <diagonal/>
    </border>
    <border>
      <left/>
      <right style="thin">
        <color rgb="FF0A0264"/>
      </right>
      <top/>
      <bottom style="thin">
        <color rgb="FF0A0264"/>
      </bottom>
      <diagonal/>
    </border>
    <border>
      <left style="medium">
        <color rgb="FF0A0264"/>
      </left>
      <right/>
      <top style="medium">
        <color rgb="FF0A0264"/>
      </top>
      <bottom style="medium">
        <color rgb="FF0A0264"/>
      </bottom>
      <diagonal/>
    </border>
    <border>
      <left/>
      <right/>
      <top style="medium">
        <color rgb="FF0A0264"/>
      </top>
      <bottom style="medium">
        <color rgb="FF0A0264"/>
      </bottom>
      <diagonal/>
    </border>
    <border>
      <left/>
      <right style="medium">
        <color rgb="FF0A0264"/>
      </right>
      <top style="medium">
        <color rgb="FF0A0264"/>
      </top>
      <bottom style="medium">
        <color rgb="FF0A0264"/>
      </bottom>
      <diagonal/>
    </border>
    <border>
      <left style="medium">
        <color rgb="FF0A0264"/>
      </left>
      <right/>
      <top/>
      <bottom style="medium">
        <color rgb="FF0A0264"/>
      </bottom>
      <diagonal/>
    </border>
    <border>
      <left/>
      <right/>
      <top/>
      <bottom style="medium">
        <color rgb="FF0A0264"/>
      </bottom>
      <diagonal/>
    </border>
    <border>
      <left/>
      <right style="medium">
        <color rgb="FF0A0264"/>
      </right>
      <top/>
      <bottom style="medium">
        <color rgb="FF0A0264"/>
      </bottom>
      <diagonal/>
    </border>
    <border>
      <left style="medium">
        <color rgb="FF0A0264"/>
      </left>
      <right/>
      <top/>
      <bottom style="thin">
        <color rgb="FF0A0264"/>
      </bottom>
      <diagonal/>
    </border>
    <border>
      <left style="medium">
        <color rgb="FF0A0264"/>
      </left>
      <right/>
      <top style="thin">
        <color rgb="FF0A0264"/>
      </top>
      <bottom style="thin">
        <color rgb="FF0A02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A0264"/>
      </left>
      <right/>
      <top/>
      <bottom style="medium">
        <color indexed="64"/>
      </bottom>
      <diagonal/>
    </border>
    <border>
      <left style="medium">
        <color rgb="FF0A0264"/>
      </left>
      <right style="thin">
        <color rgb="FF0A0264"/>
      </right>
      <top/>
      <bottom style="medium">
        <color indexed="64"/>
      </bottom>
      <diagonal/>
    </border>
    <border>
      <left style="thin">
        <color rgb="FF0A0264"/>
      </left>
      <right style="thin">
        <color rgb="FF0A0264"/>
      </right>
      <top/>
      <bottom style="thin">
        <color indexed="64"/>
      </bottom>
      <diagonal/>
    </border>
    <border>
      <left style="thin">
        <color rgb="FF0A0264"/>
      </left>
      <right style="medium">
        <color rgb="FF0A0264"/>
      </right>
      <top/>
      <bottom style="thin">
        <color indexed="64"/>
      </bottom>
      <diagonal/>
    </border>
    <border>
      <left style="medium">
        <color rgb="FF0A0264"/>
      </left>
      <right style="thin">
        <color indexed="64"/>
      </right>
      <top style="thin">
        <color rgb="FF0A0264"/>
      </top>
      <bottom style="medium">
        <color indexed="64"/>
      </bottom>
      <diagonal/>
    </border>
    <border>
      <left style="thin">
        <color indexed="64"/>
      </left>
      <right style="thin">
        <color rgb="FF0A0264"/>
      </right>
      <top style="thin">
        <color rgb="FF0A0264"/>
      </top>
      <bottom style="medium">
        <color indexed="64"/>
      </bottom>
      <diagonal/>
    </border>
    <border>
      <left style="thin">
        <color rgb="FF0A0264"/>
      </left>
      <right style="thin">
        <color rgb="FF0A0264"/>
      </right>
      <top style="thin">
        <color rgb="FF0A0264"/>
      </top>
      <bottom style="medium">
        <color indexed="64"/>
      </bottom>
      <diagonal/>
    </border>
    <border>
      <left style="thin">
        <color rgb="FF0A0264"/>
      </left>
      <right style="medium">
        <color rgb="FF0A0264"/>
      </right>
      <top style="thin">
        <color rgb="FF0A0264"/>
      </top>
      <bottom style="medium">
        <color indexed="64"/>
      </bottom>
      <diagonal/>
    </border>
    <border>
      <left style="medium">
        <color rgb="FF0A0264"/>
      </left>
      <right/>
      <top style="thin">
        <color rgb="FF0A02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2" borderId="1" applyFont="0" applyBorder="0" applyAlignment="0">
      <alignment horizontal="center" vertical="center"/>
    </xf>
    <xf numFmtId="10" fontId="3" fillId="4" borderId="2" applyBorder="0" applyAlignment="0">
      <alignment horizontal="center" vertical="center" wrapText="1"/>
    </xf>
    <xf numFmtId="0" fontId="1" fillId="0" borderId="0"/>
  </cellStyleXfs>
  <cellXfs count="133">
    <xf numFmtId="0" fontId="0" fillId="0" borderId="0" xfId="0"/>
    <xf numFmtId="0" fontId="5" fillId="0" borderId="0" xfId="0" applyFont="1"/>
    <xf numFmtId="0" fontId="4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5" borderId="12" xfId="1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9" fontId="11" fillId="0" borderId="6" xfId="0" applyNumberFormat="1" applyFont="1" applyBorder="1" applyAlignment="1">
      <alignment horizontal="center" vertical="center"/>
    </xf>
    <xf numFmtId="0" fontId="8" fillId="5" borderId="3" xfId="1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6" fillId="5" borderId="20" xfId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center" vertical="center"/>
    </xf>
    <xf numFmtId="9" fontId="0" fillId="0" borderId="24" xfId="0" applyNumberFormat="1" applyBorder="1" applyAlignment="1">
      <alignment horizontal="center" vertical="center"/>
    </xf>
    <xf numFmtId="9" fontId="0" fillId="0" borderId="25" xfId="0" applyNumberFormat="1" applyBorder="1" applyAlignment="1">
      <alignment horizontal="center" vertical="center"/>
    </xf>
    <xf numFmtId="9" fontId="12" fillId="0" borderId="25" xfId="0" applyNumberFormat="1" applyFont="1" applyBorder="1" applyAlignment="1">
      <alignment horizontal="center" vertical="center"/>
    </xf>
    <xf numFmtId="9" fontId="13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0" fillId="0" borderId="21" xfId="0" applyFont="1" applyBorder="1" applyAlignment="1">
      <alignment vertical="center"/>
    </xf>
    <xf numFmtId="0" fontId="14" fillId="3" borderId="21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9" fontId="11" fillId="0" borderId="28" xfId="0" applyNumberFormat="1" applyFont="1" applyBorder="1" applyAlignment="1">
      <alignment horizontal="center" vertical="center"/>
    </xf>
    <xf numFmtId="0" fontId="6" fillId="7" borderId="14" xfId="1" applyFont="1" applyFill="1" applyBorder="1" applyAlignment="1">
      <alignment horizontal="center" vertical="center"/>
    </xf>
    <xf numFmtId="0" fontId="6" fillId="7" borderId="23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horizontal="center" vertical="center"/>
    </xf>
    <xf numFmtId="0" fontId="6" fillId="8" borderId="14" xfId="1" applyFont="1" applyFill="1" applyBorder="1" applyAlignment="1">
      <alignment horizontal="center" vertical="center"/>
    </xf>
    <xf numFmtId="0" fontId="6" fillId="8" borderId="23" xfId="1" applyFont="1" applyFill="1" applyBorder="1" applyAlignment="1">
      <alignment horizontal="center" vertical="center"/>
    </xf>
    <xf numFmtId="0" fontId="6" fillId="8" borderId="20" xfId="1" applyFont="1" applyFill="1" applyBorder="1" applyAlignment="1">
      <alignment horizontal="center" vertical="center"/>
    </xf>
    <xf numFmtId="0" fontId="6" fillId="8" borderId="19" xfId="1" applyFont="1" applyFill="1" applyBorder="1" applyAlignment="1">
      <alignment horizontal="center" vertical="center"/>
    </xf>
    <xf numFmtId="0" fontId="6" fillId="6" borderId="14" xfId="1" applyFont="1" applyFill="1" applyBorder="1" applyAlignment="1">
      <alignment horizontal="center" vertical="center"/>
    </xf>
    <xf numFmtId="0" fontId="22" fillId="9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2" fillId="10" borderId="0" xfId="0" applyFont="1" applyFill="1" applyAlignment="1">
      <alignment vertical="center"/>
    </xf>
    <xf numFmtId="0" fontId="22" fillId="0" borderId="0" xfId="0" applyFont="1" applyAlignment="1">
      <alignment horizontal="left" vertical="center"/>
    </xf>
    <xf numFmtId="0" fontId="17" fillId="10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29" fillId="11" borderId="14" xfId="1" applyFont="1" applyFill="1" applyBorder="1" applyAlignment="1">
      <alignment horizontal="center" vertical="center"/>
    </xf>
    <xf numFmtId="0" fontId="29" fillId="11" borderId="23" xfId="1" applyFont="1" applyFill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6" fillId="12" borderId="20" xfId="1" applyFont="1" applyFill="1" applyBorder="1" applyAlignment="1">
      <alignment horizontal="center" vertical="center"/>
    </xf>
    <xf numFmtId="0" fontId="30" fillId="0" borderId="0" xfId="0" applyFont="1"/>
    <xf numFmtId="0" fontId="30" fillId="0" borderId="0" xfId="0" applyFont="1" applyAlignment="1">
      <alignment vertical="center"/>
    </xf>
    <xf numFmtId="0" fontId="10" fillId="0" borderId="38" xfId="0" applyFont="1" applyBorder="1" applyAlignment="1">
      <alignment vertical="center"/>
    </xf>
    <xf numFmtId="0" fontId="34" fillId="3" borderId="21" xfId="0" applyFont="1" applyFill="1" applyBorder="1"/>
    <xf numFmtId="0" fontId="34" fillId="3" borderId="38" xfId="0" applyFont="1" applyFill="1" applyBorder="1"/>
    <xf numFmtId="0" fontId="34" fillId="3" borderId="40" xfId="0" applyFont="1" applyFill="1" applyBorder="1"/>
    <xf numFmtId="0" fontId="34" fillId="3" borderId="23" xfId="0" applyFont="1" applyFill="1" applyBorder="1"/>
    <xf numFmtId="0" fontId="34" fillId="3" borderId="39" xfId="0" applyFont="1" applyFill="1" applyBorder="1"/>
    <xf numFmtId="0" fontId="0" fillId="3" borderId="0" xfId="0" applyFill="1"/>
    <xf numFmtId="0" fontId="9" fillId="0" borderId="41" xfId="0" applyFont="1" applyBorder="1" applyAlignment="1">
      <alignment horizontal="center" vertical="center"/>
    </xf>
    <xf numFmtId="9" fontId="11" fillId="3" borderId="28" xfId="0" applyNumberFormat="1" applyFont="1" applyFill="1" applyBorder="1" applyAlignment="1">
      <alignment horizontal="center" vertical="center"/>
    </xf>
    <xf numFmtId="9" fontId="11" fillId="3" borderId="6" xfId="0" applyNumberFormat="1" applyFont="1" applyFill="1" applyBorder="1" applyAlignment="1">
      <alignment horizontal="center" vertical="center"/>
    </xf>
    <xf numFmtId="9" fontId="5" fillId="3" borderId="6" xfId="0" applyNumberFormat="1" applyFont="1" applyFill="1" applyBorder="1" applyAlignment="1">
      <alignment horizontal="center" vertical="center"/>
    </xf>
    <xf numFmtId="0" fontId="5" fillId="3" borderId="0" xfId="0" applyFont="1" applyFill="1"/>
    <xf numFmtId="0" fontId="9" fillId="0" borderId="42" xfId="0" applyFont="1" applyBorder="1" applyAlignment="1">
      <alignment horizontal="center" vertical="center"/>
    </xf>
    <xf numFmtId="0" fontId="10" fillId="0" borderId="39" xfId="0" applyFont="1" applyBorder="1" applyAlignment="1">
      <alignment vertical="center"/>
    </xf>
    <xf numFmtId="0" fontId="5" fillId="13" borderId="0" xfId="0" applyFont="1" applyFill="1"/>
    <xf numFmtId="9" fontId="0" fillId="0" borderId="43" xfId="0" applyNumberFormat="1" applyBorder="1" applyAlignment="1">
      <alignment horizontal="center" vertical="center"/>
    </xf>
    <xf numFmtId="9" fontId="12" fillId="0" borderId="43" xfId="0" applyNumberFormat="1" applyFont="1" applyBorder="1" applyAlignment="1">
      <alignment horizontal="center" vertical="center"/>
    </xf>
    <xf numFmtId="9" fontId="13" fillId="0" borderId="44" xfId="0" applyNumberFormat="1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9" fontId="0" fillId="0" borderId="46" xfId="0" applyNumberFormat="1" applyBorder="1" applyAlignment="1">
      <alignment horizontal="center" vertical="center"/>
    </xf>
    <xf numFmtId="9" fontId="0" fillId="0" borderId="47" xfId="0" applyNumberFormat="1" applyBorder="1" applyAlignment="1">
      <alignment horizontal="center" vertical="center"/>
    </xf>
    <xf numFmtId="9" fontId="12" fillId="0" borderId="47" xfId="0" applyNumberFormat="1" applyFont="1" applyBorder="1" applyAlignment="1">
      <alignment horizontal="center" vertical="center"/>
    </xf>
    <xf numFmtId="9" fontId="13" fillId="0" borderId="48" xfId="0" applyNumberFormat="1" applyFont="1" applyBorder="1" applyAlignment="1">
      <alignment horizontal="center" vertical="center"/>
    </xf>
    <xf numFmtId="0" fontId="34" fillId="3" borderId="37" xfId="0" applyFont="1" applyFill="1" applyBorder="1"/>
    <xf numFmtId="0" fontId="9" fillId="0" borderId="4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4" fontId="32" fillId="9" borderId="0" xfId="0" applyNumberFormat="1" applyFont="1" applyFill="1"/>
    <xf numFmtId="14" fontId="5" fillId="0" borderId="0" xfId="0" applyNumberFormat="1" applyFont="1"/>
    <xf numFmtId="14" fontId="5" fillId="13" borderId="0" xfId="0" applyNumberFormat="1" applyFont="1" applyFill="1"/>
    <xf numFmtId="14" fontId="30" fillId="13" borderId="0" xfId="0" applyNumberFormat="1" applyFont="1" applyFill="1"/>
    <xf numFmtId="14" fontId="31" fillId="13" borderId="0" xfId="0" applyNumberFormat="1" applyFont="1" applyFill="1"/>
    <xf numFmtId="14" fontId="5" fillId="9" borderId="0" xfId="0" applyNumberFormat="1" applyFont="1" applyFill="1"/>
    <xf numFmtId="14" fontId="35" fillId="13" borderId="0" xfId="0" applyNumberFormat="1" applyFont="1" applyFill="1"/>
    <xf numFmtId="9" fontId="0" fillId="0" borderId="0" xfId="0" applyNumberFormat="1"/>
    <xf numFmtId="0" fontId="0" fillId="0" borderId="50" xfId="0" applyBorder="1"/>
    <xf numFmtId="0" fontId="6" fillId="15" borderId="14" xfId="1" applyFont="1" applyFill="1" applyBorder="1" applyAlignment="1">
      <alignment horizontal="center" vertical="center"/>
    </xf>
    <xf numFmtId="0" fontId="6" fillId="15" borderId="23" xfId="1" applyFont="1" applyFill="1" applyBorder="1" applyAlignment="1">
      <alignment horizontal="center" vertical="center"/>
    </xf>
    <xf numFmtId="0" fontId="36" fillId="0" borderId="39" xfId="0" applyFont="1" applyBorder="1" applyAlignment="1">
      <alignment vertical="center"/>
    </xf>
    <xf numFmtId="0" fontId="36" fillId="0" borderId="21" xfId="0" applyFont="1" applyBorder="1" applyAlignment="1">
      <alignment vertical="center"/>
    </xf>
    <xf numFmtId="0" fontId="14" fillId="0" borderId="21" xfId="0" applyFont="1" applyBorder="1" applyAlignment="1">
      <alignment horizontal="center" vertical="center"/>
    </xf>
    <xf numFmtId="0" fontId="6" fillId="14" borderId="14" xfId="1" applyFont="1" applyFill="1" applyBorder="1" applyAlignment="1">
      <alignment horizontal="center" vertical="center"/>
    </xf>
    <xf numFmtId="0" fontId="6" fillId="14" borderId="23" xfId="1" applyFont="1" applyFill="1" applyBorder="1" applyAlignment="1">
      <alignment horizontal="center" vertical="center"/>
    </xf>
    <xf numFmtId="0" fontId="34" fillId="16" borderId="38" xfId="0" applyFont="1" applyFill="1" applyBorder="1"/>
    <xf numFmtId="0" fontId="34" fillId="16" borderId="21" xfId="0" applyFont="1" applyFill="1" applyBorder="1"/>
    <xf numFmtId="0" fontId="36" fillId="16" borderId="21" xfId="0" applyFont="1" applyFill="1" applyBorder="1" applyAlignment="1">
      <alignment vertical="center"/>
    </xf>
    <xf numFmtId="0" fontId="10" fillId="16" borderId="21" xfId="0" applyFont="1" applyFill="1" applyBorder="1" applyAlignment="1">
      <alignment vertical="center"/>
    </xf>
    <xf numFmtId="0" fontId="27" fillId="0" borderId="29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15" fillId="5" borderId="7" xfId="1" applyFont="1" applyFill="1" applyBorder="1" applyAlignment="1">
      <alignment horizontal="center" vertical="center"/>
    </xf>
    <xf numFmtId="0" fontId="15" fillId="5" borderId="8" xfId="1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28" fillId="11" borderId="9" xfId="0" applyFont="1" applyFill="1" applyBorder="1" applyAlignment="1">
      <alignment horizontal="center" vertical="center"/>
    </xf>
    <xf numFmtId="0" fontId="28" fillId="11" borderId="10" xfId="0" applyFont="1" applyFill="1" applyBorder="1" applyAlignment="1">
      <alignment horizontal="center" vertical="center"/>
    </xf>
    <xf numFmtId="0" fontId="28" fillId="11" borderId="11" xfId="0" applyFont="1" applyFill="1" applyBorder="1" applyAlignment="1">
      <alignment horizontal="center" vertical="center"/>
    </xf>
    <xf numFmtId="0" fontId="25" fillId="0" borderId="32" xfId="0" applyFont="1" applyBorder="1" applyAlignment="1">
      <alignment horizontal="center" vertical="center" wrapText="1"/>
    </xf>
    <xf numFmtId="0" fontId="19" fillId="5" borderId="7" xfId="1" applyFont="1" applyFill="1" applyBorder="1" applyAlignment="1">
      <alignment horizontal="center" vertical="center"/>
    </xf>
    <xf numFmtId="0" fontId="19" fillId="5" borderId="8" xfId="1" applyFont="1" applyFill="1" applyBorder="1" applyAlignment="1">
      <alignment horizontal="center" vertical="center"/>
    </xf>
    <xf numFmtId="0" fontId="20" fillId="14" borderId="9" xfId="0" applyFont="1" applyFill="1" applyBorder="1" applyAlignment="1">
      <alignment horizontal="center" vertical="center"/>
    </xf>
    <xf numFmtId="0" fontId="20" fillId="14" borderId="10" xfId="0" applyFont="1" applyFill="1" applyBorder="1" applyAlignment="1">
      <alignment horizontal="center" vertical="center"/>
    </xf>
    <xf numFmtId="0" fontId="20" fillId="14" borderId="11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16" fillId="5" borderId="17" xfId="1" applyFont="1" applyFill="1" applyBorder="1" applyAlignment="1">
      <alignment horizontal="center" vertical="center"/>
    </xf>
    <xf numFmtId="0" fontId="16" fillId="5" borderId="18" xfId="1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49" fontId="7" fillId="0" borderId="29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</cellXfs>
  <cellStyles count="4">
    <cellStyle name="Normal 2" xfId="3" xr:uid="{00000000-0005-0000-0000-000000000000}"/>
    <cellStyle name="Standaard" xfId="0" builtinId="0"/>
    <cellStyle name="Stil 1" xfId="1" xr:uid="{00000000-0005-0000-0000-000002000000}"/>
    <cellStyle name="Stil 2" xfId="2" xr:uid="{00000000-0005-0000-0000-000003000000}"/>
  </cellStyles>
  <dxfs count="65">
    <dxf>
      <fill>
        <patternFill>
          <bgColor theme="5" tint="0.59996337778862885"/>
        </patternFill>
      </fill>
    </dxf>
    <dxf>
      <fill>
        <patternFill>
          <bgColor rgb="FFFFFFCC"/>
        </patternFill>
      </fill>
    </dxf>
    <dxf>
      <fill>
        <patternFill>
          <bgColor rgb="FF66FFCC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Medium9">
    <tableStyle name="Draaitabelstijl 1" table="0" count="0" xr9:uid="{D2A18F24-0F35-4D3F-AC74-7373C7792FB4}"/>
  </tableStyles>
  <colors>
    <mruColors>
      <color rgb="FF004DE6"/>
      <color rgb="FFFFFFCC"/>
      <color rgb="FF66FFCC"/>
      <color rgb="FF0A0264"/>
      <color rgb="FF640000"/>
      <color rgb="FF9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AM67"/>
  <sheetViews>
    <sheetView zoomScale="70" zoomScaleNormal="70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L6" sqref="AL6"/>
    </sheetView>
  </sheetViews>
  <sheetFormatPr defaultColWidth="9.140625" defaultRowHeight="12.75"/>
  <cols>
    <col min="1" max="1" width="4.28515625" style="1" customWidth="1"/>
    <col min="2" max="2" width="26.28515625" style="2" customWidth="1"/>
    <col min="3" max="3" width="8.28515625" style="1" customWidth="1"/>
    <col min="4" max="8" width="8" style="1" customWidth="1"/>
    <col min="9" max="9" width="8.140625" style="1" customWidth="1"/>
    <col min="10" max="10" width="0.28515625" style="1" hidden="1" customWidth="1"/>
    <col min="11" max="11" width="10" style="1" hidden="1" customWidth="1"/>
    <col min="12" max="14" width="10.28515625" style="1" hidden="1" customWidth="1"/>
    <col min="15" max="15" width="9.42578125" style="1" hidden="1" customWidth="1"/>
    <col min="16" max="16" width="9.7109375" style="1" hidden="1" customWidth="1"/>
    <col min="17" max="21" width="8" style="1" customWidth="1"/>
    <col min="22" max="22" width="8.7109375" style="1" customWidth="1"/>
    <col min="23" max="23" width="8" style="1" customWidth="1"/>
    <col min="24" max="24" width="9.140625" style="1" customWidth="1"/>
    <col min="25" max="25" width="9.28515625" style="1" customWidth="1"/>
    <col min="26" max="26" width="9.140625" style="1" customWidth="1"/>
    <col min="27" max="28" width="8.28515625" style="1" customWidth="1"/>
    <col min="29" max="31" width="8.140625" style="1" customWidth="1"/>
    <col min="32" max="32" width="0.140625" style="1" customWidth="1"/>
    <col min="33" max="33" width="8.140625" style="1" customWidth="1"/>
    <col min="34" max="34" width="8.7109375" style="1" customWidth="1"/>
    <col min="35" max="35" width="7.7109375" style="1" customWidth="1"/>
    <col min="36" max="36" width="12.140625" style="1" customWidth="1"/>
    <col min="37" max="37" width="35.140625" style="1" customWidth="1"/>
    <col min="38" max="38" width="30.140625" style="1" customWidth="1"/>
    <col min="39" max="39" width="15.42578125" style="1" customWidth="1"/>
    <col min="40" max="16384" width="9.140625" style="1"/>
  </cols>
  <sheetData>
    <row r="1" spans="1:39" ht="50.1" customHeight="1" thickBot="1">
      <c r="A1" s="96" t="s">
        <v>106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8"/>
      <c r="AE1" s="93" t="s">
        <v>40</v>
      </c>
      <c r="AF1" s="94"/>
      <c r="AG1" s="94"/>
      <c r="AH1" s="94"/>
      <c r="AI1" s="95"/>
    </row>
    <row r="2" spans="1:39" ht="20.100000000000001" customHeight="1">
      <c r="A2" s="99" t="s">
        <v>42</v>
      </c>
      <c r="B2" s="100"/>
      <c r="C2" s="107" t="s">
        <v>12</v>
      </c>
      <c r="D2" s="108"/>
      <c r="E2" s="108"/>
      <c r="F2" s="108"/>
      <c r="G2" s="108"/>
      <c r="H2" s="108"/>
      <c r="I2" s="109"/>
      <c r="J2" s="110" t="s">
        <v>49</v>
      </c>
      <c r="K2" s="111"/>
      <c r="L2" s="111"/>
      <c r="M2" s="111"/>
      <c r="N2" s="111"/>
      <c r="O2" s="111"/>
      <c r="P2" s="112"/>
      <c r="Q2" s="103" t="s">
        <v>13</v>
      </c>
      <c r="R2" s="104"/>
      <c r="S2" s="104"/>
      <c r="T2" s="104"/>
      <c r="U2" s="104"/>
      <c r="V2" s="104"/>
      <c r="W2" s="104"/>
      <c r="X2" s="105" t="s">
        <v>52</v>
      </c>
      <c r="Y2" s="105"/>
      <c r="Z2" s="105"/>
      <c r="AA2" s="105"/>
      <c r="AB2" s="105"/>
      <c r="AC2" s="105"/>
      <c r="AD2" s="106"/>
      <c r="AE2" s="101" t="s">
        <v>31</v>
      </c>
      <c r="AF2" s="102"/>
      <c r="AG2" s="102"/>
      <c r="AH2" s="102"/>
      <c r="AI2" s="102"/>
    </row>
    <row r="3" spans="1:39" ht="20.100000000000001" customHeight="1">
      <c r="A3" s="5" t="s">
        <v>0</v>
      </c>
      <c r="B3" s="6" t="s">
        <v>1</v>
      </c>
      <c r="C3" s="27" t="s">
        <v>2</v>
      </c>
      <c r="D3" s="27" t="s">
        <v>5</v>
      </c>
      <c r="E3" s="27" t="s">
        <v>6</v>
      </c>
      <c r="F3" s="27" t="s">
        <v>7</v>
      </c>
      <c r="G3" s="27" t="s">
        <v>8</v>
      </c>
      <c r="H3" s="27" t="s">
        <v>27</v>
      </c>
      <c r="I3" s="28" t="s">
        <v>11</v>
      </c>
      <c r="J3" s="41" t="s">
        <v>2</v>
      </c>
      <c r="K3" s="41" t="s">
        <v>5</v>
      </c>
      <c r="L3" s="41" t="s">
        <v>6</v>
      </c>
      <c r="M3" s="41" t="s">
        <v>7</v>
      </c>
      <c r="N3" s="41" t="s">
        <v>8</v>
      </c>
      <c r="O3" s="41" t="s">
        <v>27</v>
      </c>
      <c r="P3" s="42" t="s">
        <v>11</v>
      </c>
      <c r="Q3" s="7" t="s">
        <v>2</v>
      </c>
      <c r="R3" s="7" t="s">
        <v>5</v>
      </c>
      <c r="S3" s="7" t="s">
        <v>6</v>
      </c>
      <c r="T3" s="7" t="s">
        <v>7</v>
      </c>
      <c r="U3" s="7" t="s">
        <v>8</v>
      </c>
      <c r="V3" s="14" t="s">
        <v>27</v>
      </c>
      <c r="W3" s="14" t="s">
        <v>11</v>
      </c>
      <c r="X3" s="24" t="s">
        <v>2</v>
      </c>
      <c r="Y3" s="24" t="s">
        <v>5</v>
      </c>
      <c r="Z3" s="24" t="s">
        <v>6</v>
      </c>
      <c r="AA3" s="24" t="s">
        <v>7</v>
      </c>
      <c r="AB3" s="25" t="s">
        <v>8</v>
      </c>
      <c r="AC3" s="25" t="s">
        <v>27</v>
      </c>
      <c r="AD3" s="25" t="s">
        <v>27</v>
      </c>
      <c r="AE3" s="9" t="s">
        <v>3</v>
      </c>
      <c r="AF3" s="9" t="s">
        <v>41</v>
      </c>
      <c r="AG3" s="9" t="s">
        <v>4</v>
      </c>
      <c r="AH3" s="24" t="s">
        <v>52</v>
      </c>
      <c r="AI3" s="26" t="s">
        <v>9</v>
      </c>
    </row>
    <row r="4" spans="1:39" ht="15" customHeight="1" thickBot="1">
      <c r="A4" s="39">
        <v>1</v>
      </c>
      <c r="B4" s="52" t="s">
        <v>93</v>
      </c>
      <c r="C4" s="22" t="s">
        <v>109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 t="s">
        <v>109</v>
      </c>
      <c r="J4" s="22"/>
      <c r="K4" s="22"/>
      <c r="L4" s="22"/>
      <c r="M4" s="22"/>
      <c r="N4" s="22"/>
      <c r="O4" s="22"/>
      <c r="P4" s="22"/>
      <c r="Q4" s="22">
        <v>0</v>
      </c>
      <c r="R4" s="22">
        <v>0</v>
      </c>
      <c r="S4" s="22">
        <v>0</v>
      </c>
      <c r="T4" s="22" t="s">
        <v>109</v>
      </c>
      <c r="U4" s="22">
        <v>0</v>
      </c>
      <c r="V4" s="22" t="s">
        <v>109</v>
      </c>
      <c r="W4" s="22" t="s">
        <v>109</v>
      </c>
      <c r="X4" s="22" t="s">
        <v>109</v>
      </c>
      <c r="Y4" s="22">
        <v>0</v>
      </c>
      <c r="Z4" s="22" t="s">
        <v>109</v>
      </c>
      <c r="AA4" s="22" t="s">
        <v>109</v>
      </c>
      <c r="AB4" s="22" t="s">
        <v>109</v>
      </c>
      <c r="AC4" s="22">
        <v>0</v>
      </c>
      <c r="AD4" s="22" t="s">
        <v>109</v>
      </c>
      <c r="AE4" s="23">
        <f t="shared" ref="AE4:AE33" si="0">AVERAGE(C4:I4)</f>
        <v>0</v>
      </c>
      <c r="AF4" s="23" t="e">
        <f t="shared" ref="AF4:AF33" si="1">AVERAGE(J4:P4)</f>
        <v>#DIV/0!</v>
      </c>
      <c r="AG4" s="10">
        <f t="shared" ref="AG4:AG33" si="2">AVERAGE(Q4:W4)</f>
        <v>0</v>
      </c>
      <c r="AH4" s="10">
        <f t="shared" ref="AH4:AH33" si="3">AVERAGE(X4:AD4)</f>
        <v>0</v>
      </c>
      <c r="AI4" s="8">
        <f t="shared" ref="AI4:AI33" si="4">AVERAGE(C4:W4)</f>
        <v>0</v>
      </c>
      <c r="AJ4" s="38"/>
    </row>
    <row r="5" spans="1:39" ht="15" customHeight="1">
      <c r="A5" s="71">
        <v>2</v>
      </c>
      <c r="B5" s="48" t="s">
        <v>105</v>
      </c>
      <c r="C5" s="22" t="s">
        <v>109</v>
      </c>
      <c r="D5" s="22" t="s">
        <v>109</v>
      </c>
      <c r="E5" s="22" t="s">
        <v>109</v>
      </c>
      <c r="F5" s="22" t="s">
        <v>109</v>
      </c>
      <c r="G5" s="22" t="s">
        <v>109</v>
      </c>
      <c r="H5" s="22" t="s">
        <v>109</v>
      </c>
      <c r="I5" s="22" t="s">
        <v>109</v>
      </c>
      <c r="J5" s="22"/>
      <c r="K5" s="22"/>
      <c r="L5" s="22"/>
      <c r="M5" s="22"/>
      <c r="N5" s="22"/>
      <c r="O5" s="22"/>
      <c r="P5" s="22"/>
      <c r="Q5" s="22">
        <v>1</v>
      </c>
      <c r="R5" s="22">
        <v>1</v>
      </c>
      <c r="S5" s="22">
        <v>1</v>
      </c>
      <c r="T5" s="22" t="s">
        <v>109</v>
      </c>
      <c r="U5" s="22">
        <v>1</v>
      </c>
      <c r="V5" s="22" t="s">
        <v>109</v>
      </c>
      <c r="W5" s="22" t="s">
        <v>109</v>
      </c>
      <c r="X5" s="22" t="s">
        <v>109</v>
      </c>
      <c r="Y5" s="22" t="s">
        <v>109</v>
      </c>
      <c r="Z5" s="22" t="s">
        <v>109</v>
      </c>
      <c r="AA5" s="22" t="s">
        <v>109</v>
      </c>
      <c r="AB5" s="22" t="s">
        <v>109</v>
      </c>
      <c r="AC5" s="22" t="s">
        <v>109</v>
      </c>
      <c r="AD5" s="22" t="s">
        <v>109</v>
      </c>
      <c r="AE5" s="23" t="e">
        <f t="shared" si="0"/>
        <v>#DIV/0!</v>
      </c>
      <c r="AF5" s="23" t="e">
        <f t="shared" si="1"/>
        <v>#DIV/0!</v>
      </c>
      <c r="AG5" s="10">
        <f t="shared" si="2"/>
        <v>1</v>
      </c>
      <c r="AH5" s="10" t="e">
        <f t="shared" si="3"/>
        <v>#DIV/0!</v>
      </c>
      <c r="AI5" s="8">
        <f t="shared" si="4"/>
        <v>1</v>
      </c>
      <c r="AK5" s="73">
        <v>45719</v>
      </c>
      <c r="AL5" s="78">
        <v>45725</v>
      </c>
      <c r="AM5" s="76"/>
    </row>
    <row r="6" spans="1:39" ht="15" customHeight="1">
      <c r="A6" s="72">
        <v>3</v>
      </c>
      <c r="B6" s="48" t="s">
        <v>94</v>
      </c>
      <c r="C6" s="22" t="s">
        <v>109</v>
      </c>
      <c r="D6" s="22">
        <v>1</v>
      </c>
      <c r="E6" s="22">
        <v>1</v>
      </c>
      <c r="F6" s="22">
        <v>1</v>
      </c>
      <c r="G6" s="22">
        <v>0</v>
      </c>
      <c r="H6" s="22" t="s">
        <v>113</v>
      </c>
      <c r="I6" s="22" t="s">
        <v>109</v>
      </c>
      <c r="J6" s="22"/>
      <c r="K6" s="22"/>
      <c r="L6" s="22"/>
      <c r="M6" s="22"/>
      <c r="N6" s="22"/>
      <c r="O6" s="22"/>
      <c r="P6" s="22"/>
      <c r="Q6" s="22">
        <v>1</v>
      </c>
      <c r="R6" s="22">
        <v>1</v>
      </c>
      <c r="S6" s="22">
        <v>1</v>
      </c>
      <c r="T6" s="22" t="s">
        <v>109</v>
      </c>
      <c r="U6" s="22">
        <v>0</v>
      </c>
      <c r="V6" s="22" t="s">
        <v>109</v>
      </c>
      <c r="W6" s="22" t="s">
        <v>109</v>
      </c>
      <c r="X6" s="22" t="s">
        <v>109</v>
      </c>
      <c r="Y6" s="22">
        <v>1</v>
      </c>
      <c r="Z6" s="22" t="s">
        <v>109</v>
      </c>
      <c r="AA6" s="22" t="s">
        <v>109</v>
      </c>
      <c r="AB6" s="22" t="s">
        <v>109</v>
      </c>
      <c r="AC6" s="22">
        <v>1</v>
      </c>
      <c r="AD6" s="22" t="s">
        <v>109</v>
      </c>
      <c r="AE6" s="23">
        <f t="shared" si="0"/>
        <v>0.75</v>
      </c>
      <c r="AF6" s="23" t="e">
        <f t="shared" si="1"/>
        <v>#DIV/0!</v>
      </c>
      <c r="AG6" s="10">
        <f t="shared" si="2"/>
        <v>0.75</v>
      </c>
      <c r="AH6" s="10">
        <f t="shared" si="3"/>
        <v>1</v>
      </c>
      <c r="AI6" s="8">
        <f t="shared" si="4"/>
        <v>0.75</v>
      </c>
      <c r="AK6" s="74"/>
    </row>
    <row r="7" spans="1:39" ht="15" customHeight="1">
      <c r="A7" s="72">
        <v>4</v>
      </c>
      <c r="B7" s="48" t="s">
        <v>55</v>
      </c>
      <c r="C7" s="22" t="s">
        <v>109</v>
      </c>
      <c r="D7" s="43">
        <v>1</v>
      </c>
      <c r="E7" s="43">
        <v>1</v>
      </c>
      <c r="F7" s="43">
        <v>1</v>
      </c>
      <c r="G7" s="43">
        <v>1</v>
      </c>
      <c r="H7" s="43">
        <v>1</v>
      </c>
      <c r="I7" s="22" t="s">
        <v>109</v>
      </c>
      <c r="J7" s="43"/>
      <c r="K7" s="43"/>
      <c r="L7" s="43"/>
      <c r="M7" s="43"/>
      <c r="N7" s="43"/>
      <c r="O7" s="43"/>
      <c r="P7" s="43"/>
      <c r="Q7" s="43">
        <v>1</v>
      </c>
      <c r="R7" s="43">
        <v>1</v>
      </c>
      <c r="S7" s="43">
        <v>1</v>
      </c>
      <c r="T7" s="22" t="s">
        <v>109</v>
      </c>
      <c r="U7" s="43">
        <v>1</v>
      </c>
      <c r="V7" s="22" t="s">
        <v>109</v>
      </c>
      <c r="W7" s="22" t="s">
        <v>109</v>
      </c>
      <c r="X7" s="22" t="s">
        <v>109</v>
      </c>
      <c r="Y7" s="43">
        <v>1</v>
      </c>
      <c r="Z7" s="22" t="s">
        <v>109</v>
      </c>
      <c r="AA7" s="22" t="s">
        <v>109</v>
      </c>
      <c r="AB7" s="22" t="s">
        <v>109</v>
      </c>
      <c r="AC7" s="22">
        <v>1</v>
      </c>
      <c r="AD7" s="22" t="s">
        <v>109</v>
      </c>
      <c r="AE7" s="23">
        <f t="shared" si="0"/>
        <v>1</v>
      </c>
      <c r="AF7" s="23" t="e">
        <f t="shared" si="1"/>
        <v>#DIV/0!</v>
      </c>
      <c r="AG7" s="10">
        <f t="shared" si="2"/>
        <v>1</v>
      </c>
      <c r="AH7" s="10">
        <f t="shared" si="3"/>
        <v>1</v>
      </c>
      <c r="AI7" s="8">
        <f t="shared" si="4"/>
        <v>1</v>
      </c>
    </row>
    <row r="8" spans="1:39" ht="15" customHeight="1">
      <c r="A8" s="72">
        <v>5</v>
      </c>
      <c r="B8" s="49" t="s">
        <v>56</v>
      </c>
      <c r="C8" s="22" t="s">
        <v>109</v>
      </c>
      <c r="D8" s="22">
        <v>0</v>
      </c>
      <c r="E8" s="22">
        <v>1</v>
      </c>
      <c r="F8" s="22">
        <v>0</v>
      </c>
      <c r="G8" s="22">
        <v>0</v>
      </c>
      <c r="H8" s="22">
        <v>0</v>
      </c>
      <c r="I8" s="22" t="s">
        <v>109</v>
      </c>
      <c r="J8" s="22"/>
      <c r="K8" s="22"/>
      <c r="L8" s="22"/>
      <c r="M8" s="22"/>
      <c r="N8" s="22"/>
      <c r="O8" s="22"/>
      <c r="P8" s="22"/>
      <c r="Q8" s="22">
        <v>1</v>
      </c>
      <c r="R8" s="22">
        <v>1</v>
      </c>
      <c r="S8" s="22">
        <v>1</v>
      </c>
      <c r="T8" s="22" t="s">
        <v>109</v>
      </c>
      <c r="U8" s="22">
        <v>1</v>
      </c>
      <c r="V8" s="22" t="s">
        <v>109</v>
      </c>
      <c r="W8" s="22" t="s">
        <v>109</v>
      </c>
      <c r="X8" s="22" t="s">
        <v>109</v>
      </c>
      <c r="Y8" s="22">
        <v>0</v>
      </c>
      <c r="Z8" s="22" t="s">
        <v>109</v>
      </c>
      <c r="AA8" s="22" t="s">
        <v>109</v>
      </c>
      <c r="AB8" s="22" t="s">
        <v>109</v>
      </c>
      <c r="AC8" s="22">
        <v>1</v>
      </c>
      <c r="AD8" s="22" t="s">
        <v>109</v>
      </c>
      <c r="AE8" s="23">
        <f t="shared" si="0"/>
        <v>0.2</v>
      </c>
      <c r="AF8" s="23" t="e">
        <f t="shared" si="1"/>
        <v>#DIV/0!</v>
      </c>
      <c r="AG8" s="10">
        <f t="shared" si="2"/>
        <v>1</v>
      </c>
      <c r="AH8" s="10">
        <f t="shared" si="3"/>
        <v>0.5</v>
      </c>
      <c r="AI8" s="8">
        <f t="shared" si="4"/>
        <v>0.55555555555555558</v>
      </c>
    </row>
    <row r="9" spans="1:39" ht="15" customHeight="1">
      <c r="A9" s="72">
        <v>6</v>
      </c>
      <c r="B9" s="48" t="s">
        <v>95</v>
      </c>
      <c r="C9" s="22" t="s">
        <v>109</v>
      </c>
      <c r="D9" s="43" t="s">
        <v>109</v>
      </c>
      <c r="E9" s="43">
        <v>1</v>
      </c>
      <c r="F9" s="43">
        <v>1</v>
      </c>
      <c r="G9" s="43">
        <v>0</v>
      </c>
      <c r="H9" s="43">
        <v>0</v>
      </c>
      <c r="I9" s="22" t="s">
        <v>109</v>
      </c>
      <c r="J9" s="43"/>
      <c r="K9" s="43"/>
      <c r="L9" s="43"/>
      <c r="M9" s="43"/>
      <c r="N9" s="43"/>
      <c r="O9" s="43"/>
      <c r="P9" s="43"/>
      <c r="Q9" s="43">
        <v>1</v>
      </c>
      <c r="R9" s="43">
        <v>1</v>
      </c>
      <c r="S9" s="43">
        <v>1</v>
      </c>
      <c r="T9" s="22" t="s">
        <v>109</v>
      </c>
      <c r="U9" s="43">
        <v>0</v>
      </c>
      <c r="V9" s="22" t="s">
        <v>109</v>
      </c>
      <c r="W9" s="22" t="s">
        <v>109</v>
      </c>
      <c r="X9" s="22" t="s">
        <v>109</v>
      </c>
      <c r="Y9" s="43" t="s">
        <v>109</v>
      </c>
      <c r="Z9" s="22" t="s">
        <v>109</v>
      </c>
      <c r="AA9" s="22" t="s">
        <v>109</v>
      </c>
      <c r="AB9" s="22" t="s">
        <v>109</v>
      </c>
      <c r="AC9" s="22">
        <v>0</v>
      </c>
      <c r="AD9" s="22" t="s">
        <v>109</v>
      </c>
      <c r="AE9" s="23">
        <f t="shared" si="0"/>
        <v>0.5</v>
      </c>
      <c r="AF9" s="23" t="e">
        <f t="shared" si="1"/>
        <v>#DIV/0!</v>
      </c>
      <c r="AG9" s="10">
        <f t="shared" si="2"/>
        <v>0.75</v>
      </c>
      <c r="AH9" s="10">
        <f t="shared" si="3"/>
        <v>0</v>
      </c>
      <c r="AI9" s="8">
        <f t="shared" si="4"/>
        <v>0.625</v>
      </c>
    </row>
    <row r="10" spans="1:39" ht="15" customHeight="1">
      <c r="A10" s="72">
        <v>7</v>
      </c>
      <c r="B10" s="48" t="s">
        <v>96</v>
      </c>
      <c r="C10" s="22" t="s">
        <v>109</v>
      </c>
      <c r="D10" s="43" t="s">
        <v>109</v>
      </c>
      <c r="E10" s="43">
        <v>1</v>
      </c>
      <c r="F10" s="43">
        <v>0</v>
      </c>
      <c r="G10" s="43">
        <v>0</v>
      </c>
      <c r="H10" s="43">
        <v>1</v>
      </c>
      <c r="I10" s="22" t="s">
        <v>109</v>
      </c>
      <c r="J10" s="43"/>
      <c r="K10" s="43"/>
      <c r="L10" s="43"/>
      <c r="M10" s="43"/>
      <c r="N10" s="43"/>
      <c r="O10" s="43"/>
      <c r="P10" s="43"/>
      <c r="Q10" s="43" t="s">
        <v>109</v>
      </c>
      <c r="R10" s="43">
        <v>1</v>
      </c>
      <c r="S10" s="43">
        <v>1</v>
      </c>
      <c r="T10" s="22" t="s">
        <v>109</v>
      </c>
      <c r="U10" s="43">
        <v>0</v>
      </c>
      <c r="V10" s="22" t="s">
        <v>109</v>
      </c>
      <c r="W10" s="22" t="s">
        <v>109</v>
      </c>
      <c r="X10" s="22" t="s">
        <v>109</v>
      </c>
      <c r="Y10" s="43" t="s">
        <v>109</v>
      </c>
      <c r="Z10" s="22" t="s">
        <v>109</v>
      </c>
      <c r="AA10" s="22" t="s">
        <v>109</v>
      </c>
      <c r="AB10" s="22" t="s">
        <v>109</v>
      </c>
      <c r="AC10" s="22">
        <v>1</v>
      </c>
      <c r="AD10" s="22" t="s">
        <v>109</v>
      </c>
      <c r="AE10" s="23">
        <f t="shared" si="0"/>
        <v>0.5</v>
      </c>
      <c r="AF10" s="23" t="e">
        <f t="shared" si="1"/>
        <v>#DIV/0!</v>
      </c>
      <c r="AG10" s="10">
        <f t="shared" si="2"/>
        <v>0.66666666666666663</v>
      </c>
      <c r="AH10" s="10">
        <f>AVERAGE(X10:AD10)</f>
        <v>1</v>
      </c>
      <c r="AI10" s="8">
        <f t="shared" si="4"/>
        <v>0.5714285714285714</v>
      </c>
    </row>
    <row r="11" spans="1:39" ht="15" customHeight="1">
      <c r="A11" s="72">
        <v>8</v>
      </c>
      <c r="B11" s="48" t="s">
        <v>97</v>
      </c>
      <c r="C11" s="22" t="s">
        <v>109</v>
      </c>
      <c r="D11" s="22">
        <v>1</v>
      </c>
      <c r="E11" s="22">
        <v>1</v>
      </c>
      <c r="F11" s="22">
        <v>1</v>
      </c>
      <c r="G11" s="22">
        <v>1</v>
      </c>
      <c r="H11" s="22">
        <v>1</v>
      </c>
      <c r="I11" s="22" t="s">
        <v>109</v>
      </c>
      <c r="J11" s="22"/>
      <c r="K11" s="22"/>
      <c r="L11" s="22"/>
      <c r="M11" s="22"/>
      <c r="N11" s="22"/>
      <c r="O11" s="22"/>
      <c r="P11" s="22"/>
      <c r="Q11" s="22">
        <v>1</v>
      </c>
      <c r="R11" s="22">
        <v>1</v>
      </c>
      <c r="S11" s="22" t="s">
        <v>109</v>
      </c>
      <c r="T11" s="22" t="s">
        <v>109</v>
      </c>
      <c r="U11" s="22">
        <v>1</v>
      </c>
      <c r="V11" s="22" t="s">
        <v>109</v>
      </c>
      <c r="W11" s="22" t="s">
        <v>109</v>
      </c>
      <c r="X11" s="22" t="s">
        <v>109</v>
      </c>
      <c r="Y11" s="22">
        <v>1</v>
      </c>
      <c r="Z11" s="22" t="s">
        <v>109</v>
      </c>
      <c r="AA11" s="22" t="s">
        <v>109</v>
      </c>
      <c r="AB11" s="22" t="s">
        <v>109</v>
      </c>
      <c r="AC11" s="22">
        <v>1</v>
      </c>
      <c r="AD11" s="22" t="s">
        <v>109</v>
      </c>
      <c r="AE11" s="23">
        <f t="shared" si="0"/>
        <v>1</v>
      </c>
      <c r="AF11" s="23" t="e">
        <f t="shared" si="1"/>
        <v>#DIV/0!</v>
      </c>
      <c r="AG11" s="10">
        <f t="shared" si="2"/>
        <v>1</v>
      </c>
      <c r="AH11" s="10">
        <f t="shared" si="3"/>
        <v>1</v>
      </c>
      <c r="AI11" s="8">
        <f t="shared" si="4"/>
        <v>1</v>
      </c>
    </row>
    <row r="12" spans="1:39" ht="15" customHeight="1">
      <c r="A12" s="72">
        <v>9</v>
      </c>
      <c r="B12" s="48" t="s">
        <v>98</v>
      </c>
      <c r="C12" s="22" t="s">
        <v>109</v>
      </c>
      <c r="D12" s="43">
        <v>1</v>
      </c>
      <c r="E12" s="43">
        <v>1</v>
      </c>
      <c r="F12" s="43">
        <v>1</v>
      </c>
      <c r="G12" s="43">
        <v>1</v>
      </c>
      <c r="H12" s="43">
        <v>0</v>
      </c>
      <c r="I12" s="22" t="s">
        <v>109</v>
      </c>
      <c r="J12" s="43"/>
      <c r="K12" s="43"/>
      <c r="L12" s="43"/>
      <c r="M12" s="43"/>
      <c r="N12" s="43"/>
      <c r="O12" s="43"/>
      <c r="P12" s="43"/>
      <c r="Q12" s="43">
        <v>1</v>
      </c>
      <c r="R12" s="43">
        <v>1</v>
      </c>
      <c r="S12" s="43">
        <v>1</v>
      </c>
      <c r="T12" s="22" t="s">
        <v>109</v>
      </c>
      <c r="U12" s="43">
        <v>1</v>
      </c>
      <c r="V12" s="22" t="s">
        <v>109</v>
      </c>
      <c r="W12" s="22" t="s">
        <v>109</v>
      </c>
      <c r="X12" s="22" t="s">
        <v>109</v>
      </c>
      <c r="Y12" s="43">
        <v>1</v>
      </c>
      <c r="Z12" s="22" t="s">
        <v>109</v>
      </c>
      <c r="AA12" s="22" t="s">
        <v>109</v>
      </c>
      <c r="AB12" s="22" t="s">
        <v>109</v>
      </c>
      <c r="AC12" s="22">
        <v>1</v>
      </c>
      <c r="AD12" s="22" t="s">
        <v>109</v>
      </c>
      <c r="AE12" s="23">
        <f t="shared" si="0"/>
        <v>0.8</v>
      </c>
      <c r="AF12" s="23" t="e">
        <f t="shared" si="1"/>
        <v>#DIV/0!</v>
      </c>
      <c r="AG12" s="10">
        <f t="shared" si="2"/>
        <v>1</v>
      </c>
      <c r="AH12" s="10">
        <f t="shared" si="3"/>
        <v>1</v>
      </c>
      <c r="AI12" s="8">
        <f t="shared" si="4"/>
        <v>0.88888888888888884</v>
      </c>
    </row>
    <row r="13" spans="1:39" ht="15" customHeight="1">
      <c r="A13" s="72">
        <v>10</v>
      </c>
      <c r="B13" s="48" t="s">
        <v>99</v>
      </c>
      <c r="C13" s="22" t="s">
        <v>109</v>
      </c>
      <c r="D13" s="43">
        <v>1</v>
      </c>
      <c r="E13" s="43">
        <v>1</v>
      </c>
      <c r="F13" s="43">
        <v>1</v>
      </c>
      <c r="G13" s="43">
        <v>1</v>
      </c>
      <c r="H13" s="43">
        <v>1</v>
      </c>
      <c r="I13" s="22" t="s">
        <v>109</v>
      </c>
      <c r="J13" s="43"/>
      <c r="K13" s="43"/>
      <c r="L13" s="43"/>
      <c r="M13" s="43"/>
      <c r="N13" s="43"/>
      <c r="O13" s="43"/>
      <c r="P13" s="43"/>
      <c r="Q13" s="43">
        <v>1</v>
      </c>
      <c r="R13" s="43">
        <v>1</v>
      </c>
      <c r="S13" s="43">
        <v>1</v>
      </c>
      <c r="T13" s="22" t="s">
        <v>109</v>
      </c>
      <c r="U13" s="43">
        <v>1</v>
      </c>
      <c r="V13" s="22" t="s">
        <v>109</v>
      </c>
      <c r="W13" s="22" t="s">
        <v>109</v>
      </c>
      <c r="X13" s="22" t="s">
        <v>109</v>
      </c>
      <c r="Y13" s="43">
        <v>1</v>
      </c>
      <c r="Z13" s="22" t="s">
        <v>109</v>
      </c>
      <c r="AA13" s="22" t="s">
        <v>109</v>
      </c>
      <c r="AB13" s="22" t="s">
        <v>109</v>
      </c>
      <c r="AC13" s="22">
        <v>1</v>
      </c>
      <c r="AD13" s="22" t="s">
        <v>109</v>
      </c>
      <c r="AE13" s="23">
        <f t="shared" si="0"/>
        <v>1</v>
      </c>
      <c r="AF13" s="23" t="e">
        <f t="shared" si="1"/>
        <v>#DIV/0!</v>
      </c>
      <c r="AG13" s="10">
        <f t="shared" si="2"/>
        <v>1</v>
      </c>
      <c r="AH13" s="10">
        <f t="shared" si="3"/>
        <v>1</v>
      </c>
      <c r="AI13" s="8">
        <f t="shared" si="4"/>
        <v>1</v>
      </c>
    </row>
    <row r="14" spans="1:39" s="58" customFormat="1" ht="15" customHeight="1">
      <c r="A14" s="72">
        <v>11</v>
      </c>
      <c r="B14" s="50" t="s">
        <v>100</v>
      </c>
      <c r="C14" s="22" t="s">
        <v>109</v>
      </c>
      <c r="D14" s="22">
        <v>1</v>
      </c>
      <c r="E14" s="22" t="s">
        <v>109</v>
      </c>
      <c r="F14" s="22">
        <v>0</v>
      </c>
      <c r="G14" s="22" t="s">
        <v>109</v>
      </c>
      <c r="H14" s="22" t="s">
        <v>109</v>
      </c>
      <c r="I14" s="22" t="s">
        <v>109</v>
      </c>
      <c r="J14" s="22" t="s">
        <v>109</v>
      </c>
      <c r="K14" s="22" t="s">
        <v>109</v>
      </c>
      <c r="L14" s="22" t="s">
        <v>109</v>
      </c>
      <c r="M14" s="22" t="s">
        <v>109</v>
      </c>
      <c r="N14" s="22" t="s">
        <v>109</v>
      </c>
      <c r="O14" s="22" t="s">
        <v>109</v>
      </c>
      <c r="P14" s="22" t="s">
        <v>109</v>
      </c>
      <c r="Q14" s="22">
        <v>1</v>
      </c>
      <c r="R14" s="22">
        <v>1</v>
      </c>
      <c r="S14" s="22" t="s">
        <v>109</v>
      </c>
      <c r="T14" s="22" t="s">
        <v>109</v>
      </c>
      <c r="U14" s="22" t="s">
        <v>109</v>
      </c>
      <c r="V14" s="22" t="s">
        <v>109</v>
      </c>
      <c r="W14" s="22" t="s">
        <v>109</v>
      </c>
      <c r="X14" s="22" t="s">
        <v>109</v>
      </c>
      <c r="Y14" s="22">
        <v>1</v>
      </c>
      <c r="Z14" s="22" t="s">
        <v>109</v>
      </c>
      <c r="AA14" s="22" t="s">
        <v>109</v>
      </c>
      <c r="AB14" s="22" t="s">
        <v>109</v>
      </c>
      <c r="AC14" s="22" t="s">
        <v>109</v>
      </c>
      <c r="AD14" s="22" t="s">
        <v>109</v>
      </c>
      <c r="AE14" s="55">
        <f t="shared" si="0"/>
        <v>0.5</v>
      </c>
      <c r="AF14" s="55" t="e">
        <f t="shared" si="1"/>
        <v>#DIV/0!</v>
      </c>
      <c r="AG14" s="56">
        <f t="shared" si="2"/>
        <v>1</v>
      </c>
      <c r="AH14" s="56">
        <f t="shared" si="3"/>
        <v>1</v>
      </c>
      <c r="AI14" s="57">
        <f t="shared" si="4"/>
        <v>0.75</v>
      </c>
    </row>
    <row r="15" spans="1:39" ht="15" customHeight="1" thickBot="1">
      <c r="A15" s="72">
        <v>12</v>
      </c>
      <c r="B15" s="52" t="s">
        <v>101</v>
      </c>
      <c r="C15" s="22" t="s">
        <v>109</v>
      </c>
      <c r="D15" s="43" t="s">
        <v>109</v>
      </c>
      <c r="E15" s="43" t="s">
        <v>109</v>
      </c>
      <c r="F15" s="43">
        <v>1</v>
      </c>
      <c r="G15" s="43">
        <v>1</v>
      </c>
      <c r="H15" s="43">
        <v>0</v>
      </c>
      <c r="I15" s="22" t="s">
        <v>109</v>
      </c>
      <c r="J15" s="43"/>
      <c r="K15" s="43"/>
      <c r="L15" s="43"/>
      <c r="M15" s="43"/>
      <c r="N15" s="43"/>
      <c r="O15" s="43"/>
      <c r="P15" s="43"/>
      <c r="Q15" s="43">
        <v>1</v>
      </c>
      <c r="R15" s="43" t="s">
        <v>109</v>
      </c>
      <c r="S15" s="43">
        <v>1</v>
      </c>
      <c r="T15" s="22" t="s">
        <v>109</v>
      </c>
      <c r="U15" s="43">
        <v>0</v>
      </c>
      <c r="V15" s="22" t="s">
        <v>109</v>
      </c>
      <c r="W15" s="22" t="s">
        <v>109</v>
      </c>
      <c r="X15" s="22" t="s">
        <v>109</v>
      </c>
      <c r="Y15" s="43" t="s">
        <v>109</v>
      </c>
      <c r="Z15" s="22" t="s">
        <v>109</v>
      </c>
      <c r="AA15" s="22" t="s">
        <v>109</v>
      </c>
      <c r="AB15" s="22" t="s">
        <v>109</v>
      </c>
      <c r="AC15" s="22">
        <v>1</v>
      </c>
      <c r="AD15" s="22" t="s">
        <v>109</v>
      </c>
      <c r="AE15" s="23">
        <f t="shared" si="0"/>
        <v>0.66666666666666663</v>
      </c>
      <c r="AF15" s="23" t="e">
        <f t="shared" si="1"/>
        <v>#DIV/0!</v>
      </c>
      <c r="AG15" s="10">
        <f t="shared" si="2"/>
        <v>0.66666666666666663</v>
      </c>
      <c r="AH15" s="10">
        <f t="shared" si="3"/>
        <v>1</v>
      </c>
      <c r="AI15" s="8">
        <f t="shared" si="4"/>
        <v>0.66666666666666663</v>
      </c>
    </row>
    <row r="16" spans="1:39" ht="15" customHeight="1">
      <c r="A16" s="72">
        <v>13</v>
      </c>
      <c r="B16" s="89" t="s">
        <v>58</v>
      </c>
      <c r="C16" s="22" t="s">
        <v>109</v>
      </c>
      <c r="D16" s="22">
        <v>1</v>
      </c>
      <c r="E16" s="22" t="s">
        <v>53</v>
      </c>
      <c r="F16" s="22">
        <v>1</v>
      </c>
      <c r="G16" s="22">
        <v>0</v>
      </c>
      <c r="H16" s="22">
        <v>0</v>
      </c>
      <c r="I16" s="22" t="s">
        <v>109</v>
      </c>
      <c r="J16" s="22"/>
      <c r="K16" s="22"/>
      <c r="L16" s="22"/>
      <c r="M16" s="22"/>
      <c r="N16" s="22"/>
      <c r="O16" s="22"/>
      <c r="P16" s="22"/>
      <c r="Q16" s="22">
        <v>1</v>
      </c>
      <c r="R16" s="22" t="s">
        <v>108</v>
      </c>
      <c r="S16" s="22">
        <v>1</v>
      </c>
      <c r="T16" s="22" t="s">
        <v>109</v>
      </c>
      <c r="U16" s="22">
        <v>1</v>
      </c>
      <c r="V16" s="22" t="s">
        <v>109</v>
      </c>
      <c r="W16" s="22" t="s">
        <v>109</v>
      </c>
      <c r="X16" s="22" t="s">
        <v>109</v>
      </c>
      <c r="Y16" s="22">
        <v>1</v>
      </c>
      <c r="Z16" s="22" t="s">
        <v>109</v>
      </c>
      <c r="AA16" s="22" t="s">
        <v>109</v>
      </c>
      <c r="AB16" s="22" t="s">
        <v>109</v>
      </c>
      <c r="AC16" s="22">
        <v>0</v>
      </c>
      <c r="AD16" s="22" t="s">
        <v>109</v>
      </c>
      <c r="AE16" s="23">
        <f t="shared" si="0"/>
        <v>0.5</v>
      </c>
      <c r="AF16" s="23" t="e">
        <f t="shared" si="1"/>
        <v>#DIV/0!</v>
      </c>
      <c r="AG16" s="10">
        <f t="shared" si="2"/>
        <v>1</v>
      </c>
      <c r="AH16" s="10">
        <f t="shared" si="3"/>
        <v>0.5</v>
      </c>
      <c r="AI16" s="8">
        <f t="shared" si="4"/>
        <v>0.7142857142857143</v>
      </c>
    </row>
    <row r="17" spans="1:35" ht="15" customHeight="1">
      <c r="A17" s="72">
        <v>14</v>
      </c>
      <c r="B17" s="48" t="s">
        <v>63</v>
      </c>
      <c r="C17" s="22" t="s">
        <v>109</v>
      </c>
      <c r="D17" s="43">
        <v>0</v>
      </c>
      <c r="E17" s="43">
        <v>1</v>
      </c>
      <c r="F17" s="43">
        <v>0</v>
      </c>
      <c r="G17" s="43" t="s">
        <v>109</v>
      </c>
      <c r="H17" s="43">
        <v>0</v>
      </c>
      <c r="I17" s="22" t="s">
        <v>109</v>
      </c>
      <c r="J17" s="43"/>
      <c r="K17" s="43"/>
      <c r="L17" s="43"/>
      <c r="M17" s="43"/>
      <c r="N17" s="43"/>
      <c r="O17" s="43"/>
      <c r="P17" s="43"/>
      <c r="Q17" s="43">
        <v>0</v>
      </c>
      <c r="R17" s="43" t="s">
        <v>112</v>
      </c>
      <c r="S17" s="43">
        <v>0</v>
      </c>
      <c r="T17" s="22" t="s">
        <v>109</v>
      </c>
      <c r="U17" s="43">
        <v>0</v>
      </c>
      <c r="V17" s="22" t="s">
        <v>109</v>
      </c>
      <c r="W17" s="22" t="s">
        <v>109</v>
      </c>
      <c r="X17" s="22" t="s">
        <v>109</v>
      </c>
      <c r="Y17" s="43">
        <v>0</v>
      </c>
      <c r="Z17" s="22" t="s">
        <v>109</v>
      </c>
      <c r="AA17" s="22" t="s">
        <v>109</v>
      </c>
      <c r="AB17" s="22" t="s">
        <v>109</v>
      </c>
      <c r="AC17" s="22">
        <v>1</v>
      </c>
      <c r="AD17" s="22" t="s">
        <v>109</v>
      </c>
      <c r="AE17" s="23">
        <f t="shared" si="0"/>
        <v>0.25</v>
      </c>
      <c r="AF17" s="23" t="e">
        <f t="shared" si="1"/>
        <v>#DIV/0!</v>
      </c>
      <c r="AG17" s="10">
        <f t="shared" si="2"/>
        <v>0</v>
      </c>
      <c r="AH17" s="10">
        <f t="shared" si="3"/>
        <v>0.5</v>
      </c>
      <c r="AI17" s="8">
        <f t="shared" si="4"/>
        <v>0.14285714285714285</v>
      </c>
    </row>
    <row r="18" spans="1:35" ht="15" customHeight="1">
      <c r="A18" s="72">
        <v>15</v>
      </c>
      <c r="B18" s="48" t="s">
        <v>102</v>
      </c>
      <c r="C18" s="22" t="s">
        <v>109</v>
      </c>
      <c r="D18" s="22" t="s">
        <v>109</v>
      </c>
      <c r="E18" s="22">
        <v>0</v>
      </c>
      <c r="F18" s="22">
        <v>0</v>
      </c>
      <c r="G18" s="22">
        <v>0</v>
      </c>
      <c r="H18" s="22">
        <v>0</v>
      </c>
      <c r="I18" s="22" t="s">
        <v>109</v>
      </c>
      <c r="J18" s="22"/>
      <c r="K18" s="22"/>
      <c r="L18" s="22"/>
      <c r="M18" s="22"/>
      <c r="N18" s="22"/>
      <c r="O18" s="22"/>
      <c r="P18" s="22"/>
      <c r="Q18" s="22">
        <v>0</v>
      </c>
      <c r="R18" s="22">
        <v>0</v>
      </c>
      <c r="S18" s="22">
        <v>0</v>
      </c>
      <c r="T18" s="22" t="s">
        <v>109</v>
      </c>
      <c r="U18" s="22">
        <v>0</v>
      </c>
      <c r="V18" s="22" t="s">
        <v>109</v>
      </c>
      <c r="W18" s="22" t="s">
        <v>109</v>
      </c>
      <c r="X18" s="22" t="s">
        <v>109</v>
      </c>
      <c r="Y18" s="22" t="s">
        <v>109</v>
      </c>
      <c r="Z18" s="22" t="s">
        <v>109</v>
      </c>
      <c r="AA18" s="22" t="s">
        <v>109</v>
      </c>
      <c r="AB18" s="22" t="s">
        <v>109</v>
      </c>
      <c r="AC18" s="22">
        <v>0</v>
      </c>
      <c r="AD18" s="22" t="s">
        <v>109</v>
      </c>
      <c r="AE18" s="23">
        <f t="shared" si="0"/>
        <v>0</v>
      </c>
      <c r="AF18" s="23" t="e">
        <f t="shared" si="1"/>
        <v>#DIV/0!</v>
      </c>
      <c r="AG18" s="10">
        <f t="shared" si="2"/>
        <v>0</v>
      </c>
      <c r="AH18" s="10">
        <f t="shared" si="3"/>
        <v>0</v>
      </c>
      <c r="AI18" s="8">
        <f t="shared" si="4"/>
        <v>0</v>
      </c>
    </row>
    <row r="19" spans="1:35" ht="15" customHeight="1">
      <c r="A19" s="72">
        <v>16</v>
      </c>
      <c r="B19" s="48" t="s">
        <v>59</v>
      </c>
      <c r="C19" s="22" t="s">
        <v>109</v>
      </c>
      <c r="D19" s="43">
        <v>1</v>
      </c>
      <c r="E19" s="43">
        <v>0</v>
      </c>
      <c r="F19" s="43">
        <v>1</v>
      </c>
      <c r="G19" s="43">
        <v>0</v>
      </c>
      <c r="H19" s="43">
        <v>0</v>
      </c>
      <c r="I19" s="22" t="s">
        <v>109</v>
      </c>
      <c r="J19" s="43"/>
      <c r="K19" s="43"/>
      <c r="L19" s="43"/>
      <c r="M19" s="43"/>
      <c r="N19" s="43"/>
      <c r="O19" s="43"/>
      <c r="P19" s="43"/>
      <c r="Q19" s="43">
        <v>1</v>
      </c>
      <c r="R19" s="43">
        <v>0</v>
      </c>
      <c r="S19" s="43">
        <v>0</v>
      </c>
      <c r="T19" s="22" t="s">
        <v>109</v>
      </c>
      <c r="U19" s="43">
        <v>1</v>
      </c>
      <c r="V19" s="22" t="s">
        <v>109</v>
      </c>
      <c r="W19" s="22" t="s">
        <v>109</v>
      </c>
      <c r="X19" s="22" t="s">
        <v>109</v>
      </c>
      <c r="Y19" s="43">
        <v>1</v>
      </c>
      <c r="Z19" s="22" t="s">
        <v>109</v>
      </c>
      <c r="AA19" s="22" t="s">
        <v>109</v>
      </c>
      <c r="AB19" s="22" t="s">
        <v>109</v>
      </c>
      <c r="AC19" s="22">
        <v>0</v>
      </c>
      <c r="AD19" s="22" t="s">
        <v>109</v>
      </c>
      <c r="AE19" s="23">
        <f t="shared" si="0"/>
        <v>0.4</v>
      </c>
      <c r="AF19" s="23" t="e">
        <f t="shared" si="1"/>
        <v>#DIV/0!</v>
      </c>
      <c r="AG19" s="10">
        <f t="shared" si="2"/>
        <v>0.5</v>
      </c>
      <c r="AH19" s="10">
        <f t="shared" si="3"/>
        <v>0.5</v>
      </c>
      <c r="AI19" s="8">
        <f t="shared" si="4"/>
        <v>0.44444444444444442</v>
      </c>
    </row>
    <row r="20" spans="1:35" ht="15" customHeight="1">
      <c r="A20" s="72">
        <v>17</v>
      </c>
      <c r="B20" s="48" t="s">
        <v>60</v>
      </c>
      <c r="C20" s="22" t="s">
        <v>109</v>
      </c>
      <c r="D20" s="22">
        <v>0</v>
      </c>
      <c r="E20" s="22">
        <v>0</v>
      </c>
      <c r="F20" s="22">
        <v>1</v>
      </c>
      <c r="G20" s="22">
        <v>0</v>
      </c>
      <c r="H20" s="22">
        <v>0</v>
      </c>
      <c r="I20" s="22" t="s">
        <v>109</v>
      </c>
      <c r="J20" s="22"/>
      <c r="K20" s="22"/>
      <c r="L20" s="22"/>
      <c r="M20" s="22"/>
      <c r="N20" s="22"/>
      <c r="O20" s="22"/>
      <c r="P20" s="22"/>
      <c r="Q20" s="22">
        <v>0</v>
      </c>
      <c r="R20" s="22">
        <v>0</v>
      </c>
      <c r="S20" s="22">
        <v>0</v>
      </c>
      <c r="T20" s="22" t="s">
        <v>109</v>
      </c>
      <c r="U20" s="22">
        <v>0</v>
      </c>
      <c r="V20" s="22" t="s">
        <v>109</v>
      </c>
      <c r="W20" s="22" t="s">
        <v>109</v>
      </c>
      <c r="X20" s="22" t="s">
        <v>109</v>
      </c>
      <c r="Y20" s="22">
        <v>0</v>
      </c>
      <c r="Z20" s="22" t="s">
        <v>109</v>
      </c>
      <c r="AA20" s="22" t="s">
        <v>109</v>
      </c>
      <c r="AB20" s="22" t="s">
        <v>109</v>
      </c>
      <c r="AC20" s="22">
        <v>1</v>
      </c>
      <c r="AD20" s="22" t="s">
        <v>109</v>
      </c>
      <c r="AE20" s="23">
        <f t="shared" si="0"/>
        <v>0.2</v>
      </c>
      <c r="AF20" s="23" t="e">
        <f t="shared" si="1"/>
        <v>#DIV/0!</v>
      </c>
      <c r="AG20" s="10">
        <f t="shared" si="2"/>
        <v>0</v>
      </c>
      <c r="AH20" s="10">
        <f t="shared" si="3"/>
        <v>0.5</v>
      </c>
      <c r="AI20" s="8">
        <f t="shared" si="4"/>
        <v>0.1111111111111111</v>
      </c>
    </row>
    <row r="21" spans="1:35" ht="15" customHeight="1">
      <c r="A21" s="72">
        <v>18</v>
      </c>
      <c r="B21" s="48" t="s">
        <v>61</v>
      </c>
      <c r="C21" s="22" t="s">
        <v>109</v>
      </c>
      <c r="D21" s="43">
        <v>0</v>
      </c>
      <c r="E21" s="43">
        <v>0</v>
      </c>
      <c r="F21" s="43">
        <v>1</v>
      </c>
      <c r="G21" s="43">
        <v>0</v>
      </c>
      <c r="H21" s="43">
        <v>0</v>
      </c>
      <c r="I21" s="22" t="s">
        <v>109</v>
      </c>
      <c r="J21" s="43"/>
      <c r="K21" s="43"/>
      <c r="L21" s="43"/>
      <c r="M21" s="43"/>
      <c r="N21" s="43"/>
      <c r="O21" s="43"/>
      <c r="P21" s="43"/>
      <c r="Q21" s="43">
        <v>1</v>
      </c>
      <c r="R21" s="43">
        <v>0</v>
      </c>
      <c r="S21" s="43">
        <v>1</v>
      </c>
      <c r="T21" s="22" t="s">
        <v>109</v>
      </c>
      <c r="U21" s="43">
        <v>0</v>
      </c>
      <c r="V21" s="22" t="s">
        <v>109</v>
      </c>
      <c r="W21" s="22" t="s">
        <v>109</v>
      </c>
      <c r="X21" s="22" t="s">
        <v>109</v>
      </c>
      <c r="Y21" s="43">
        <v>0</v>
      </c>
      <c r="Z21" s="22" t="s">
        <v>109</v>
      </c>
      <c r="AA21" s="22" t="s">
        <v>109</v>
      </c>
      <c r="AB21" s="22" t="s">
        <v>109</v>
      </c>
      <c r="AC21" s="22">
        <v>1</v>
      </c>
      <c r="AD21" s="22" t="s">
        <v>109</v>
      </c>
      <c r="AE21" s="23">
        <f t="shared" si="0"/>
        <v>0.2</v>
      </c>
      <c r="AF21" s="23" t="e">
        <f t="shared" si="1"/>
        <v>#DIV/0!</v>
      </c>
      <c r="AG21" s="10">
        <f>AVERAGE(Q21:W21)</f>
        <v>0.5</v>
      </c>
      <c r="AH21" s="10">
        <f t="shared" si="3"/>
        <v>0.5</v>
      </c>
      <c r="AI21" s="8">
        <f t="shared" si="4"/>
        <v>0.33333333333333331</v>
      </c>
    </row>
    <row r="22" spans="1:35" ht="15" customHeight="1">
      <c r="A22" s="72">
        <v>19</v>
      </c>
      <c r="B22" s="48" t="s">
        <v>62</v>
      </c>
      <c r="C22" s="22" t="s">
        <v>109</v>
      </c>
      <c r="D22" s="22">
        <v>1</v>
      </c>
      <c r="E22" s="22">
        <v>0</v>
      </c>
      <c r="F22" s="22" t="s">
        <v>109</v>
      </c>
      <c r="G22" s="22">
        <v>0</v>
      </c>
      <c r="H22" s="22">
        <v>0</v>
      </c>
      <c r="I22" s="22" t="s">
        <v>109</v>
      </c>
      <c r="J22" s="22"/>
      <c r="K22" s="22"/>
      <c r="L22" s="22"/>
      <c r="M22" s="22"/>
      <c r="N22" s="22"/>
      <c r="O22" s="22"/>
      <c r="P22" s="22"/>
      <c r="Q22" s="22" t="s">
        <v>112</v>
      </c>
      <c r="R22" s="22">
        <v>0</v>
      </c>
      <c r="S22" s="22" t="s">
        <v>109</v>
      </c>
      <c r="T22" s="22" t="s">
        <v>109</v>
      </c>
      <c r="U22" s="22">
        <v>1</v>
      </c>
      <c r="V22" s="22" t="s">
        <v>109</v>
      </c>
      <c r="W22" s="22" t="s">
        <v>109</v>
      </c>
      <c r="X22" s="22" t="s">
        <v>109</v>
      </c>
      <c r="Y22" s="22">
        <v>1</v>
      </c>
      <c r="Z22" s="22" t="s">
        <v>109</v>
      </c>
      <c r="AA22" s="22" t="s">
        <v>109</v>
      </c>
      <c r="AB22" s="22" t="s">
        <v>109</v>
      </c>
      <c r="AC22" s="22">
        <v>1</v>
      </c>
      <c r="AD22" s="22" t="s">
        <v>109</v>
      </c>
      <c r="AE22" s="23">
        <f t="shared" si="0"/>
        <v>0.25</v>
      </c>
      <c r="AF22" s="23" t="e">
        <f t="shared" si="1"/>
        <v>#DIV/0!</v>
      </c>
      <c r="AG22" s="10">
        <f t="shared" si="2"/>
        <v>0.5</v>
      </c>
      <c r="AH22" s="10">
        <f t="shared" si="3"/>
        <v>1</v>
      </c>
      <c r="AI22" s="8">
        <f t="shared" si="4"/>
        <v>0.33333333333333331</v>
      </c>
    </row>
    <row r="23" spans="1:35" ht="15" customHeight="1" thickBot="1">
      <c r="A23" s="72">
        <v>20</v>
      </c>
      <c r="B23" s="52" t="s">
        <v>57</v>
      </c>
      <c r="C23" s="22" t="s">
        <v>109</v>
      </c>
      <c r="D23" s="43">
        <v>1</v>
      </c>
      <c r="E23" s="43">
        <v>1</v>
      </c>
      <c r="F23" s="43">
        <v>1</v>
      </c>
      <c r="G23" s="43">
        <v>1</v>
      </c>
      <c r="H23" s="43">
        <v>1</v>
      </c>
      <c r="I23" s="22" t="s">
        <v>109</v>
      </c>
      <c r="J23" s="43"/>
      <c r="K23" s="43"/>
      <c r="L23" s="43"/>
      <c r="M23" s="43"/>
      <c r="N23" s="43"/>
      <c r="O23" s="43"/>
      <c r="P23" s="43"/>
      <c r="Q23" s="43">
        <v>1</v>
      </c>
      <c r="R23" s="43" t="s">
        <v>109</v>
      </c>
      <c r="S23" s="43" t="s">
        <v>109</v>
      </c>
      <c r="T23" s="22" t="s">
        <v>109</v>
      </c>
      <c r="U23" s="43">
        <v>1</v>
      </c>
      <c r="V23" s="22" t="s">
        <v>109</v>
      </c>
      <c r="W23" s="22" t="s">
        <v>109</v>
      </c>
      <c r="X23" s="22" t="s">
        <v>109</v>
      </c>
      <c r="Y23" s="43">
        <v>1</v>
      </c>
      <c r="Z23" s="22" t="s">
        <v>109</v>
      </c>
      <c r="AA23" s="22" t="s">
        <v>109</v>
      </c>
      <c r="AB23" s="22" t="s">
        <v>109</v>
      </c>
      <c r="AC23" s="22">
        <v>1</v>
      </c>
      <c r="AD23" s="22" t="s">
        <v>109</v>
      </c>
      <c r="AE23" s="23">
        <f t="shared" si="0"/>
        <v>1</v>
      </c>
      <c r="AF23" s="23" t="e">
        <f t="shared" si="1"/>
        <v>#DIV/0!</v>
      </c>
      <c r="AG23" s="10">
        <f t="shared" si="2"/>
        <v>1</v>
      </c>
      <c r="AH23" s="10">
        <f t="shared" si="3"/>
        <v>1</v>
      </c>
      <c r="AI23" s="8">
        <f t="shared" si="4"/>
        <v>1</v>
      </c>
    </row>
    <row r="24" spans="1:35" ht="15" customHeight="1">
      <c r="A24" s="72">
        <v>21</v>
      </c>
      <c r="B24" s="49" t="s">
        <v>71</v>
      </c>
      <c r="C24" s="22" t="s">
        <v>109</v>
      </c>
      <c r="D24" s="22" t="s">
        <v>109</v>
      </c>
      <c r="E24" s="22">
        <v>0</v>
      </c>
      <c r="F24" s="22">
        <v>0</v>
      </c>
      <c r="G24" s="22">
        <v>1</v>
      </c>
      <c r="H24" s="22">
        <v>1</v>
      </c>
      <c r="I24" s="22" t="s">
        <v>109</v>
      </c>
      <c r="J24" s="22"/>
      <c r="K24" s="22"/>
      <c r="L24" s="22"/>
      <c r="M24" s="22"/>
      <c r="N24" s="22"/>
      <c r="O24" s="22"/>
      <c r="P24" s="22"/>
      <c r="Q24" s="22" t="s">
        <v>109</v>
      </c>
      <c r="R24" s="22">
        <v>0</v>
      </c>
      <c r="S24" s="22">
        <v>0</v>
      </c>
      <c r="T24" s="22" t="s">
        <v>109</v>
      </c>
      <c r="U24" s="22">
        <v>0</v>
      </c>
      <c r="V24" s="22" t="s">
        <v>109</v>
      </c>
      <c r="W24" s="22" t="s">
        <v>109</v>
      </c>
      <c r="X24" s="22" t="s">
        <v>109</v>
      </c>
      <c r="Y24" s="22" t="s">
        <v>109</v>
      </c>
      <c r="Z24" s="22" t="s">
        <v>109</v>
      </c>
      <c r="AA24" s="22" t="s">
        <v>109</v>
      </c>
      <c r="AB24" s="22" t="s">
        <v>109</v>
      </c>
      <c r="AC24" s="22">
        <v>0</v>
      </c>
      <c r="AD24" s="22" t="s">
        <v>109</v>
      </c>
      <c r="AE24" s="23">
        <f t="shared" si="0"/>
        <v>0.5</v>
      </c>
      <c r="AF24" s="23" t="e">
        <f t="shared" si="1"/>
        <v>#DIV/0!</v>
      </c>
      <c r="AG24" s="10">
        <f t="shared" si="2"/>
        <v>0</v>
      </c>
      <c r="AH24" s="10">
        <f t="shared" si="3"/>
        <v>0</v>
      </c>
      <c r="AI24" s="8">
        <f t="shared" si="4"/>
        <v>0.2857142857142857</v>
      </c>
    </row>
    <row r="25" spans="1:35" ht="15" customHeight="1">
      <c r="A25" s="72">
        <v>22</v>
      </c>
      <c r="B25" s="48" t="s">
        <v>64</v>
      </c>
      <c r="C25" s="22" t="s">
        <v>109</v>
      </c>
      <c r="D25" s="43" t="s">
        <v>109</v>
      </c>
      <c r="E25" s="43" t="s">
        <v>109</v>
      </c>
      <c r="F25" s="43" t="s">
        <v>109</v>
      </c>
      <c r="G25" s="43">
        <v>1</v>
      </c>
      <c r="H25" s="43">
        <v>1</v>
      </c>
      <c r="I25" s="22" t="s">
        <v>109</v>
      </c>
      <c r="J25" s="43"/>
      <c r="K25" s="43"/>
      <c r="L25" s="43"/>
      <c r="M25" s="43"/>
      <c r="N25" s="43"/>
      <c r="O25" s="43"/>
      <c r="P25" s="43"/>
      <c r="Q25" s="43" t="s">
        <v>109</v>
      </c>
      <c r="R25" s="43" t="s">
        <v>109</v>
      </c>
      <c r="S25" s="43" t="s">
        <v>109</v>
      </c>
      <c r="T25" s="22" t="s">
        <v>109</v>
      </c>
      <c r="U25" s="43" t="s">
        <v>109</v>
      </c>
      <c r="V25" s="22" t="s">
        <v>109</v>
      </c>
      <c r="W25" s="22" t="s">
        <v>109</v>
      </c>
      <c r="X25" s="22" t="s">
        <v>109</v>
      </c>
      <c r="Y25" s="43" t="s">
        <v>109</v>
      </c>
      <c r="Z25" s="22" t="s">
        <v>109</v>
      </c>
      <c r="AA25" s="22" t="s">
        <v>109</v>
      </c>
      <c r="AB25" s="22" t="s">
        <v>109</v>
      </c>
      <c r="AC25" s="22">
        <v>1</v>
      </c>
      <c r="AD25" s="22" t="s">
        <v>109</v>
      </c>
      <c r="AE25" s="23">
        <f t="shared" si="0"/>
        <v>1</v>
      </c>
      <c r="AF25" s="23" t="e">
        <f t="shared" si="1"/>
        <v>#DIV/0!</v>
      </c>
      <c r="AG25" s="10" t="e">
        <f t="shared" si="2"/>
        <v>#DIV/0!</v>
      </c>
      <c r="AH25" s="10">
        <f t="shared" si="3"/>
        <v>1</v>
      </c>
      <c r="AI25" s="8">
        <f t="shared" si="4"/>
        <v>1</v>
      </c>
    </row>
    <row r="26" spans="1:35" ht="15" customHeight="1">
      <c r="A26" s="72">
        <v>23</v>
      </c>
      <c r="B26" s="48" t="s">
        <v>82</v>
      </c>
      <c r="C26" s="22" t="s">
        <v>109</v>
      </c>
      <c r="D26" s="22">
        <v>1</v>
      </c>
      <c r="E26" s="22">
        <v>1</v>
      </c>
      <c r="F26" s="22">
        <v>1</v>
      </c>
      <c r="G26" s="22" t="s">
        <v>109</v>
      </c>
      <c r="H26" s="22" t="s">
        <v>109</v>
      </c>
      <c r="I26" s="22" t="s">
        <v>109</v>
      </c>
      <c r="J26" s="22"/>
      <c r="K26" s="22"/>
      <c r="L26" s="22"/>
      <c r="M26" s="22"/>
      <c r="N26" s="22"/>
      <c r="O26" s="22"/>
      <c r="P26" s="22"/>
      <c r="Q26" s="22">
        <v>1</v>
      </c>
      <c r="R26" s="22">
        <v>0</v>
      </c>
      <c r="S26" s="22">
        <v>1</v>
      </c>
      <c r="T26" s="22" t="s">
        <v>109</v>
      </c>
      <c r="U26" s="22" t="s">
        <v>109</v>
      </c>
      <c r="V26" s="22" t="s">
        <v>109</v>
      </c>
      <c r="W26" s="22" t="s">
        <v>109</v>
      </c>
      <c r="X26" s="22" t="s">
        <v>109</v>
      </c>
      <c r="Y26" s="22">
        <v>0</v>
      </c>
      <c r="Z26" s="22" t="s">
        <v>109</v>
      </c>
      <c r="AA26" s="22" t="s">
        <v>109</v>
      </c>
      <c r="AB26" s="22" t="s">
        <v>109</v>
      </c>
      <c r="AC26" s="22" t="s">
        <v>109</v>
      </c>
      <c r="AD26" s="22" t="s">
        <v>109</v>
      </c>
      <c r="AE26" s="23">
        <f t="shared" si="0"/>
        <v>1</v>
      </c>
      <c r="AF26" s="23" t="e">
        <f t="shared" si="1"/>
        <v>#DIV/0!</v>
      </c>
      <c r="AG26" s="10">
        <f t="shared" si="2"/>
        <v>0.66666666666666663</v>
      </c>
      <c r="AH26" s="10">
        <f t="shared" si="3"/>
        <v>0</v>
      </c>
      <c r="AI26" s="8">
        <f t="shared" si="4"/>
        <v>0.83333333333333337</v>
      </c>
    </row>
    <row r="27" spans="1:35" ht="15" customHeight="1">
      <c r="A27" s="72">
        <v>24</v>
      </c>
      <c r="B27" s="48" t="s">
        <v>65</v>
      </c>
      <c r="C27" s="22" t="s">
        <v>109</v>
      </c>
      <c r="D27" s="43">
        <v>1</v>
      </c>
      <c r="E27" s="43">
        <v>1</v>
      </c>
      <c r="F27" s="43">
        <v>1</v>
      </c>
      <c r="G27" s="43">
        <v>1</v>
      </c>
      <c r="H27" s="43">
        <v>1</v>
      </c>
      <c r="I27" s="22" t="s">
        <v>109</v>
      </c>
      <c r="J27" s="43"/>
      <c r="K27" s="43"/>
      <c r="L27" s="43"/>
      <c r="M27" s="43"/>
      <c r="N27" s="43"/>
      <c r="O27" s="43"/>
      <c r="P27" s="43"/>
      <c r="Q27" s="43">
        <v>1</v>
      </c>
      <c r="R27" s="43">
        <v>1</v>
      </c>
      <c r="S27" s="43">
        <v>1</v>
      </c>
      <c r="T27" s="22" t="s">
        <v>109</v>
      </c>
      <c r="U27" s="43" t="s">
        <v>109</v>
      </c>
      <c r="V27" s="22" t="s">
        <v>109</v>
      </c>
      <c r="W27" s="22" t="s">
        <v>109</v>
      </c>
      <c r="X27" s="22" t="s">
        <v>109</v>
      </c>
      <c r="Y27" s="43">
        <v>1</v>
      </c>
      <c r="Z27" s="22" t="s">
        <v>109</v>
      </c>
      <c r="AA27" s="22" t="s">
        <v>109</v>
      </c>
      <c r="AB27" s="22" t="s">
        <v>109</v>
      </c>
      <c r="AC27" s="22">
        <v>1</v>
      </c>
      <c r="AD27" s="22" t="s">
        <v>109</v>
      </c>
      <c r="AE27" s="23">
        <f t="shared" si="0"/>
        <v>1</v>
      </c>
      <c r="AF27" s="23" t="e">
        <f t="shared" si="1"/>
        <v>#DIV/0!</v>
      </c>
      <c r="AG27" s="10">
        <f t="shared" si="2"/>
        <v>1</v>
      </c>
      <c r="AH27" s="10">
        <f t="shared" si="3"/>
        <v>1</v>
      </c>
      <c r="AI27" s="8">
        <f t="shared" si="4"/>
        <v>1</v>
      </c>
    </row>
    <row r="28" spans="1:35" ht="15" customHeight="1">
      <c r="A28" s="72">
        <v>25</v>
      </c>
      <c r="B28" s="48" t="s">
        <v>66</v>
      </c>
      <c r="C28" s="22" t="s">
        <v>109</v>
      </c>
      <c r="D28" s="22">
        <v>1</v>
      </c>
      <c r="E28" s="22">
        <v>1</v>
      </c>
      <c r="F28" s="22">
        <v>1</v>
      </c>
      <c r="G28" s="22">
        <v>1</v>
      </c>
      <c r="H28" s="22">
        <v>1</v>
      </c>
      <c r="I28" s="22" t="s">
        <v>109</v>
      </c>
      <c r="J28" s="22"/>
      <c r="K28" s="22"/>
      <c r="L28" s="22"/>
      <c r="M28" s="22"/>
      <c r="N28" s="22"/>
      <c r="O28" s="22"/>
      <c r="P28" s="22"/>
      <c r="Q28" s="22">
        <v>1</v>
      </c>
      <c r="R28" s="22" t="s">
        <v>109</v>
      </c>
      <c r="S28" s="22" t="s">
        <v>109</v>
      </c>
      <c r="T28" s="22" t="s">
        <v>109</v>
      </c>
      <c r="U28" s="22" t="s">
        <v>109</v>
      </c>
      <c r="V28" s="22" t="s">
        <v>109</v>
      </c>
      <c r="W28" s="22" t="s">
        <v>109</v>
      </c>
      <c r="X28" s="22" t="s">
        <v>109</v>
      </c>
      <c r="Y28" s="22">
        <v>1</v>
      </c>
      <c r="Z28" s="22" t="s">
        <v>109</v>
      </c>
      <c r="AA28" s="22" t="s">
        <v>109</v>
      </c>
      <c r="AB28" s="22" t="s">
        <v>109</v>
      </c>
      <c r="AC28" s="22">
        <v>1</v>
      </c>
      <c r="AD28" s="22" t="s">
        <v>109</v>
      </c>
      <c r="AE28" s="23">
        <f t="shared" si="0"/>
        <v>1</v>
      </c>
      <c r="AF28" s="23" t="e">
        <f t="shared" si="1"/>
        <v>#DIV/0!</v>
      </c>
      <c r="AG28" s="10">
        <f t="shared" si="2"/>
        <v>1</v>
      </c>
      <c r="AH28" s="10">
        <f t="shared" si="3"/>
        <v>1</v>
      </c>
      <c r="AI28" s="8">
        <f t="shared" si="4"/>
        <v>1</v>
      </c>
    </row>
    <row r="29" spans="1:35" ht="15" customHeight="1">
      <c r="A29" s="72">
        <v>26</v>
      </c>
      <c r="B29" s="48" t="s">
        <v>74</v>
      </c>
      <c r="C29" s="22" t="s">
        <v>109</v>
      </c>
      <c r="D29" s="43">
        <v>1</v>
      </c>
      <c r="E29" s="43">
        <v>1</v>
      </c>
      <c r="F29" s="43">
        <v>1</v>
      </c>
      <c r="G29" s="43">
        <v>1</v>
      </c>
      <c r="H29" s="43" t="s">
        <v>109</v>
      </c>
      <c r="I29" s="22" t="s">
        <v>109</v>
      </c>
      <c r="J29" s="43"/>
      <c r="K29" s="43"/>
      <c r="L29" s="43"/>
      <c r="M29" s="43"/>
      <c r="N29" s="43"/>
      <c r="O29" s="43"/>
      <c r="P29" s="43"/>
      <c r="Q29" s="43">
        <v>1</v>
      </c>
      <c r="R29" s="43">
        <v>1</v>
      </c>
      <c r="S29" s="43">
        <v>1</v>
      </c>
      <c r="T29" s="22" t="s">
        <v>109</v>
      </c>
      <c r="U29" s="43" t="s">
        <v>109</v>
      </c>
      <c r="V29" s="22" t="s">
        <v>109</v>
      </c>
      <c r="W29" s="22" t="s">
        <v>109</v>
      </c>
      <c r="X29" s="22" t="s">
        <v>109</v>
      </c>
      <c r="Y29" s="43">
        <v>0</v>
      </c>
      <c r="Z29" s="22" t="s">
        <v>109</v>
      </c>
      <c r="AA29" s="22" t="s">
        <v>109</v>
      </c>
      <c r="AB29" s="22" t="s">
        <v>109</v>
      </c>
      <c r="AC29" s="22" t="s">
        <v>109</v>
      </c>
      <c r="AD29" s="22" t="s">
        <v>109</v>
      </c>
      <c r="AE29" s="23">
        <f t="shared" si="0"/>
        <v>1</v>
      </c>
      <c r="AF29" s="23" t="e">
        <f t="shared" si="1"/>
        <v>#DIV/0!</v>
      </c>
      <c r="AG29" s="10">
        <f t="shared" si="2"/>
        <v>1</v>
      </c>
      <c r="AH29" s="10">
        <f t="shared" si="3"/>
        <v>0</v>
      </c>
      <c r="AI29" s="8">
        <f t="shared" si="4"/>
        <v>1</v>
      </c>
    </row>
    <row r="30" spans="1:35" ht="15" customHeight="1">
      <c r="A30" s="72">
        <v>27</v>
      </c>
      <c r="B30" s="48" t="s">
        <v>104</v>
      </c>
      <c r="C30" s="22" t="s">
        <v>109</v>
      </c>
      <c r="D30" s="22" t="s">
        <v>109</v>
      </c>
      <c r="E30" s="22" t="s">
        <v>109</v>
      </c>
      <c r="F30" s="22">
        <v>1</v>
      </c>
      <c r="G30" s="22">
        <v>1</v>
      </c>
      <c r="H30" s="22">
        <v>1</v>
      </c>
      <c r="I30" s="22" t="s">
        <v>109</v>
      </c>
      <c r="J30" s="22"/>
      <c r="K30" s="22"/>
      <c r="L30" s="22"/>
      <c r="M30" s="22"/>
      <c r="N30" s="22"/>
      <c r="O30" s="22"/>
      <c r="P30" s="22"/>
      <c r="Q30" s="22" t="s">
        <v>109</v>
      </c>
      <c r="R30" s="22">
        <v>0</v>
      </c>
      <c r="S30" s="22">
        <v>1</v>
      </c>
      <c r="T30" s="22" t="s">
        <v>109</v>
      </c>
      <c r="U30" s="22">
        <v>1</v>
      </c>
      <c r="V30" s="22" t="s">
        <v>109</v>
      </c>
      <c r="W30" s="22" t="s">
        <v>109</v>
      </c>
      <c r="X30" s="22" t="s">
        <v>109</v>
      </c>
      <c r="Y30" s="22" t="s">
        <v>109</v>
      </c>
      <c r="Z30" s="22" t="s">
        <v>109</v>
      </c>
      <c r="AA30" s="22" t="s">
        <v>109</v>
      </c>
      <c r="AB30" s="22" t="s">
        <v>109</v>
      </c>
      <c r="AC30" s="22">
        <v>1</v>
      </c>
      <c r="AD30" s="22" t="s">
        <v>109</v>
      </c>
      <c r="AE30" s="23">
        <f t="shared" si="0"/>
        <v>1</v>
      </c>
      <c r="AF30" s="23" t="e">
        <f t="shared" si="1"/>
        <v>#DIV/0!</v>
      </c>
      <c r="AG30" s="10">
        <f t="shared" si="2"/>
        <v>0.66666666666666663</v>
      </c>
      <c r="AH30" s="10">
        <f t="shared" si="3"/>
        <v>1</v>
      </c>
      <c r="AI30" s="8">
        <f t="shared" si="4"/>
        <v>0.83333333333333337</v>
      </c>
    </row>
    <row r="31" spans="1:35" ht="15" customHeight="1">
      <c r="A31" s="72">
        <v>28</v>
      </c>
      <c r="B31" s="48" t="s">
        <v>107</v>
      </c>
      <c r="C31" s="22" t="s">
        <v>109</v>
      </c>
      <c r="D31" s="43" t="s">
        <v>109</v>
      </c>
      <c r="E31" s="43" t="s">
        <v>109</v>
      </c>
      <c r="F31" s="43" t="s">
        <v>109</v>
      </c>
      <c r="G31" s="43">
        <v>1</v>
      </c>
      <c r="H31" s="43">
        <v>1</v>
      </c>
      <c r="I31" s="22" t="s">
        <v>109</v>
      </c>
      <c r="J31" s="43"/>
      <c r="K31" s="43"/>
      <c r="L31" s="43"/>
      <c r="M31" s="43"/>
      <c r="N31" s="43"/>
      <c r="O31" s="43"/>
      <c r="P31" s="43"/>
      <c r="Q31" s="22" t="s">
        <v>109</v>
      </c>
      <c r="R31" s="43" t="s">
        <v>109</v>
      </c>
      <c r="S31" s="43" t="s">
        <v>109</v>
      </c>
      <c r="T31" s="22" t="s">
        <v>109</v>
      </c>
      <c r="U31" s="43">
        <v>0</v>
      </c>
      <c r="V31" s="22" t="s">
        <v>109</v>
      </c>
      <c r="W31" s="22" t="s">
        <v>109</v>
      </c>
      <c r="X31" s="22" t="s">
        <v>109</v>
      </c>
      <c r="Y31" s="43" t="s">
        <v>109</v>
      </c>
      <c r="Z31" s="22" t="s">
        <v>109</v>
      </c>
      <c r="AA31" s="22" t="s">
        <v>109</v>
      </c>
      <c r="AB31" s="22" t="s">
        <v>109</v>
      </c>
      <c r="AC31" s="22">
        <v>0</v>
      </c>
      <c r="AD31" s="22" t="s">
        <v>109</v>
      </c>
      <c r="AE31" s="23">
        <f t="shared" si="0"/>
        <v>1</v>
      </c>
      <c r="AF31" s="23" t="e">
        <f t="shared" si="1"/>
        <v>#DIV/0!</v>
      </c>
      <c r="AG31" s="10">
        <f t="shared" si="2"/>
        <v>0</v>
      </c>
      <c r="AH31" s="10">
        <f t="shared" si="3"/>
        <v>0</v>
      </c>
      <c r="AI31" s="8">
        <f t="shared" si="4"/>
        <v>0.66666666666666663</v>
      </c>
    </row>
    <row r="32" spans="1:35" ht="15" customHeight="1">
      <c r="A32" s="72">
        <v>29</v>
      </c>
      <c r="B32" s="48" t="s">
        <v>68</v>
      </c>
      <c r="C32" s="22" t="s">
        <v>109</v>
      </c>
      <c r="D32" s="22">
        <v>1</v>
      </c>
      <c r="E32" s="22">
        <v>1</v>
      </c>
      <c r="F32" s="22">
        <v>0</v>
      </c>
      <c r="G32" s="22">
        <v>1</v>
      </c>
      <c r="H32" s="22">
        <v>1</v>
      </c>
      <c r="I32" s="22" t="s">
        <v>109</v>
      </c>
      <c r="J32" s="22"/>
      <c r="K32" s="22"/>
      <c r="L32" s="22"/>
      <c r="M32" s="22"/>
      <c r="N32" s="22"/>
      <c r="O32" s="22"/>
      <c r="P32" s="22"/>
      <c r="Q32" s="43">
        <v>1</v>
      </c>
      <c r="R32" s="22">
        <v>1</v>
      </c>
      <c r="S32" s="22">
        <v>1</v>
      </c>
      <c r="T32" s="22" t="s">
        <v>109</v>
      </c>
      <c r="U32" s="22">
        <v>0</v>
      </c>
      <c r="V32" s="22" t="s">
        <v>109</v>
      </c>
      <c r="W32" s="22" t="s">
        <v>109</v>
      </c>
      <c r="X32" s="22" t="s">
        <v>109</v>
      </c>
      <c r="Y32" s="22">
        <v>1</v>
      </c>
      <c r="Z32" s="22" t="s">
        <v>109</v>
      </c>
      <c r="AA32" s="22" t="s">
        <v>109</v>
      </c>
      <c r="AB32" s="22" t="s">
        <v>109</v>
      </c>
      <c r="AC32" s="22">
        <v>1</v>
      </c>
      <c r="AD32" s="22" t="s">
        <v>109</v>
      </c>
      <c r="AE32" s="23">
        <f t="shared" si="0"/>
        <v>0.8</v>
      </c>
      <c r="AF32" s="23" t="e">
        <f t="shared" si="1"/>
        <v>#DIV/0!</v>
      </c>
      <c r="AG32" s="10">
        <f t="shared" si="2"/>
        <v>0.75</v>
      </c>
      <c r="AH32" s="10">
        <f t="shared" si="3"/>
        <v>1</v>
      </c>
      <c r="AI32" s="8">
        <f t="shared" si="4"/>
        <v>0.77777777777777779</v>
      </c>
    </row>
    <row r="33" spans="1:39" ht="15" customHeight="1" thickBot="1">
      <c r="A33" s="72">
        <v>30</v>
      </c>
      <c r="B33" s="52" t="s">
        <v>70</v>
      </c>
      <c r="C33" s="22" t="s">
        <v>109</v>
      </c>
      <c r="D33" s="43">
        <v>1</v>
      </c>
      <c r="E33" s="43">
        <v>0</v>
      </c>
      <c r="F33" s="43" t="s">
        <v>109</v>
      </c>
      <c r="G33" s="43" t="s">
        <v>109</v>
      </c>
      <c r="H33" s="43" t="s">
        <v>109</v>
      </c>
      <c r="I33" s="22" t="s">
        <v>109</v>
      </c>
      <c r="J33" s="43"/>
      <c r="K33" s="43"/>
      <c r="L33" s="43"/>
      <c r="M33" s="43"/>
      <c r="N33" s="43"/>
      <c r="O33" s="43"/>
      <c r="P33" s="43"/>
      <c r="Q33" s="22">
        <v>0</v>
      </c>
      <c r="R33" s="43" t="s">
        <v>109</v>
      </c>
      <c r="S33" s="43" t="s">
        <v>109</v>
      </c>
      <c r="T33" s="22" t="s">
        <v>109</v>
      </c>
      <c r="U33" s="43" t="s">
        <v>109</v>
      </c>
      <c r="V33" s="22" t="s">
        <v>109</v>
      </c>
      <c r="W33" s="22" t="s">
        <v>109</v>
      </c>
      <c r="X33" s="22" t="s">
        <v>109</v>
      </c>
      <c r="Y33" s="43">
        <v>1</v>
      </c>
      <c r="Z33" s="22" t="s">
        <v>109</v>
      </c>
      <c r="AA33" s="22" t="s">
        <v>109</v>
      </c>
      <c r="AB33" s="22" t="s">
        <v>109</v>
      </c>
      <c r="AC33" s="22" t="s">
        <v>109</v>
      </c>
      <c r="AD33" s="22" t="s">
        <v>109</v>
      </c>
      <c r="AE33" s="23">
        <f t="shared" si="0"/>
        <v>0.5</v>
      </c>
      <c r="AF33" s="23" t="e">
        <f t="shared" si="1"/>
        <v>#DIV/0!</v>
      </c>
      <c r="AG33" s="10">
        <f t="shared" si="2"/>
        <v>0</v>
      </c>
      <c r="AH33" s="10">
        <f t="shared" si="3"/>
        <v>1</v>
      </c>
      <c r="AI33" s="8">
        <f t="shared" si="4"/>
        <v>0.33333333333333331</v>
      </c>
    </row>
    <row r="34" spans="1:39" ht="15" customHeight="1">
      <c r="A34" s="72">
        <v>31</v>
      </c>
      <c r="B34" s="49" t="s">
        <v>72</v>
      </c>
      <c r="C34" s="22" t="s">
        <v>109</v>
      </c>
      <c r="D34" s="22">
        <v>1</v>
      </c>
      <c r="E34" s="22">
        <v>1</v>
      </c>
      <c r="F34" s="22">
        <v>1</v>
      </c>
      <c r="G34" s="22">
        <v>1</v>
      </c>
      <c r="H34" s="22">
        <v>1</v>
      </c>
      <c r="I34" s="22" t="s">
        <v>109</v>
      </c>
      <c r="J34" s="22"/>
      <c r="K34" s="22"/>
      <c r="L34" s="22"/>
      <c r="M34" s="22"/>
      <c r="N34" s="22"/>
      <c r="O34" s="22"/>
      <c r="P34" s="22"/>
      <c r="Q34" s="43">
        <v>1</v>
      </c>
      <c r="R34" s="22">
        <v>1</v>
      </c>
      <c r="S34" s="22">
        <v>1</v>
      </c>
      <c r="T34" s="22" t="s">
        <v>109</v>
      </c>
      <c r="U34" s="22">
        <v>1</v>
      </c>
      <c r="V34" s="22" t="s">
        <v>109</v>
      </c>
      <c r="W34" s="22" t="s">
        <v>109</v>
      </c>
      <c r="X34" s="22" t="s">
        <v>109</v>
      </c>
      <c r="Y34" s="22">
        <v>1</v>
      </c>
      <c r="Z34" s="22" t="s">
        <v>109</v>
      </c>
      <c r="AA34" s="22" t="s">
        <v>109</v>
      </c>
      <c r="AB34" s="22" t="s">
        <v>109</v>
      </c>
      <c r="AC34" s="22">
        <v>0</v>
      </c>
      <c r="AD34" s="22" t="s">
        <v>109</v>
      </c>
      <c r="AE34" s="23">
        <f t="shared" ref="AE34:AE54" si="5">AVERAGE(C34:I34)</f>
        <v>1</v>
      </c>
      <c r="AF34" s="23" t="e">
        <f t="shared" ref="AF34:AF49" si="6">AVERAGE(J34:P34)</f>
        <v>#DIV/0!</v>
      </c>
      <c r="AG34" s="10">
        <f t="shared" ref="AG34:AG49" si="7">AVERAGE(Q34:W34)</f>
        <v>1</v>
      </c>
      <c r="AH34" s="10">
        <f t="shared" ref="AH34:AH49" si="8">AVERAGE(X34:AD34)</f>
        <v>0.5</v>
      </c>
      <c r="AI34" s="8">
        <f t="shared" ref="AI34:AI49" si="9">AVERAGE(C34:W34)</f>
        <v>1</v>
      </c>
    </row>
    <row r="35" spans="1:39" ht="15.75">
      <c r="A35" s="72">
        <v>32</v>
      </c>
      <c r="B35" s="48" t="s">
        <v>73</v>
      </c>
      <c r="C35" s="22" t="s">
        <v>109</v>
      </c>
      <c r="D35" s="43">
        <v>0</v>
      </c>
      <c r="E35" s="43">
        <v>1</v>
      </c>
      <c r="F35" s="43">
        <v>1</v>
      </c>
      <c r="G35" s="43">
        <v>1</v>
      </c>
      <c r="H35" s="43">
        <v>0</v>
      </c>
      <c r="I35" s="22" t="s">
        <v>109</v>
      </c>
      <c r="J35" s="43"/>
      <c r="K35" s="43"/>
      <c r="L35" s="43"/>
      <c r="M35" s="43"/>
      <c r="N35" s="43"/>
      <c r="O35" s="43"/>
      <c r="P35" s="43"/>
      <c r="Q35" s="22">
        <v>1</v>
      </c>
      <c r="R35" s="43">
        <v>1</v>
      </c>
      <c r="S35" s="43">
        <v>1</v>
      </c>
      <c r="T35" s="22" t="s">
        <v>109</v>
      </c>
      <c r="U35" s="43">
        <v>1</v>
      </c>
      <c r="V35" s="22" t="s">
        <v>109</v>
      </c>
      <c r="W35" s="22" t="s">
        <v>109</v>
      </c>
      <c r="X35" s="22" t="s">
        <v>109</v>
      </c>
      <c r="Y35" s="43">
        <v>1</v>
      </c>
      <c r="Z35" s="22" t="s">
        <v>109</v>
      </c>
      <c r="AA35" s="22" t="s">
        <v>109</v>
      </c>
      <c r="AB35" s="22" t="s">
        <v>109</v>
      </c>
      <c r="AC35" s="22">
        <v>1</v>
      </c>
      <c r="AD35" s="22" t="s">
        <v>109</v>
      </c>
      <c r="AE35" s="23">
        <f t="shared" si="5"/>
        <v>0.6</v>
      </c>
      <c r="AF35" s="23" t="e">
        <f t="shared" si="6"/>
        <v>#DIV/0!</v>
      </c>
      <c r="AG35" s="10">
        <f t="shared" si="7"/>
        <v>1</v>
      </c>
      <c r="AH35" s="10">
        <f t="shared" si="8"/>
        <v>1</v>
      </c>
      <c r="AI35" s="8">
        <f t="shared" si="9"/>
        <v>0.77777777777777779</v>
      </c>
    </row>
    <row r="36" spans="1:39" ht="15" customHeight="1">
      <c r="A36" s="72">
        <v>33</v>
      </c>
      <c r="B36" s="48" t="s">
        <v>75</v>
      </c>
      <c r="C36" s="22" t="s">
        <v>109</v>
      </c>
      <c r="D36" s="22">
        <v>0</v>
      </c>
      <c r="E36" s="22">
        <v>1</v>
      </c>
      <c r="F36" s="22">
        <v>1</v>
      </c>
      <c r="G36" s="22">
        <v>1</v>
      </c>
      <c r="H36" s="22">
        <v>1</v>
      </c>
      <c r="I36" s="22" t="s">
        <v>109</v>
      </c>
      <c r="J36" s="22"/>
      <c r="K36" s="22"/>
      <c r="L36" s="22"/>
      <c r="M36" s="22"/>
      <c r="N36" s="22"/>
      <c r="O36" s="22"/>
      <c r="P36" s="22"/>
      <c r="Q36" s="43">
        <v>1</v>
      </c>
      <c r="R36" s="22">
        <v>0</v>
      </c>
      <c r="S36" s="22">
        <v>1</v>
      </c>
      <c r="T36" s="22" t="s">
        <v>109</v>
      </c>
      <c r="U36" s="22">
        <v>1</v>
      </c>
      <c r="V36" s="22" t="s">
        <v>109</v>
      </c>
      <c r="W36" s="22" t="s">
        <v>109</v>
      </c>
      <c r="X36" s="22" t="s">
        <v>109</v>
      </c>
      <c r="Y36" s="22">
        <v>0</v>
      </c>
      <c r="Z36" s="22" t="s">
        <v>109</v>
      </c>
      <c r="AA36" s="22" t="s">
        <v>109</v>
      </c>
      <c r="AB36" s="22" t="s">
        <v>109</v>
      </c>
      <c r="AC36" s="22">
        <v>0</v>
      </c>
      <c r="AD36" s="22" t="s">
        <v>109</v>
      </c>
      <c r="AE36" s="23">
        <f t="shared" si="5"/>
        <v>0.8</v>
      </c>
      <c r="AF36" s="23" t="e">
        <f t="shared" si="6"/>
        <v>#DIV/0!</v>
      </c>
      <c r="AG36" s="10">
        <f t="shared" si="7"/>
        <v>0.75</v>
      </c>
      <c r="AH36" s="10">
        <f t="shared" si="8"/>
        <v>0</v>
      </c>
      <c r="AI36" s="8">
        <f t="shared" si="9"/>
        <v>0.77777777777777779</v>
      </c>
      <c r="AM36" s="1">
        <f>-AM510</f>
        <v>0</v>
      </c>
    </row>
    <row r="37" spans="1:39" ht="15" customHeight="1">
      <c r="A37" s="72">
        <v>34</v>
      </c>
      <c r="B37" s="48" t="s">
        <v>67</v>
      </c>
      <c r="C37" s="22" t="s">
        <v>109</v>
      </c>
      <c r="D37" s="43">
        <v>1</v>
      </c>
      <c r="E37" s="43">
        <v>1</v>
      </c>
      <c r="F37" s="43">
        <v>1</v>
      </c>
      <c r="G37" s="43">
        <v>1</v>
      </c>
      <c r="H37" s="43">
        <v>1</v>
      </c>
      <c r="I37" s="22" t="s">
        <v>109</v>
      </c>
      <c r="J37" s="43"/>
      <c r="K37" s="43"/>
      <c r="L37" s="43"/>
      <c r="M37" s="43"/>
      <c r="N37" s="43"/>
      <c r="O37" s="43"/>
      <c r="P37" s="43"/>
      <c r="Q37" s="22">
        <v>1</v>
      </c>
      <c r="R37" s="43">
        <v>0</v>
      </c>
      <c r="S37" s="43">
        <v>1</v>
      </c>
      <c r="T37" s="22" t="s">
        <v>109</v>
      </c>
      <c r="U37" s="43">
        <v>0</v>
      </c>
      <c r="V37" s="22" t="s">
        <v>109</v>
      </c>
      <c r="W37" s="22" t="s">
        <v>109</v>
      </c>
      <c r="X37" s="22" t="s">
        <v>109</v>
      </c>
      <c r="Y37" s="43">
        <v>1</v>
      </c>
      <c r="Z37" s="22" t="s">
        <v>109</v>
      </c>
      <c r="AA37" s="22" t="s">
        <v>109</v>
      </c>
      <c r="AB37" s="22" t="s">
        <v>109</v>
      </c>
      <c r="AC37" s="22">
        <v>0</v>
      </c>
      <c r="AD37" s="22" t="s">
        <v>109</v>
      </c>
      <c r="AE37" s="23">
        <f t="shared" si="5"/>
        <v>1</v>
      </c>
      <c r="AF37" s="23" t="e">
        <f t="shared" si="6"/>
        <v>#DIV/0!</v>
      </c>
      <c r="AG37" s="10">
        <f t="shared" si="7"/>
        <v>0.5</v>
      </c>
      <c r="AH37" s="10">
        <f t="shared" si="8"/>
        <v>0.5</v>
      </c>
      <c r="AI37" s="8">
        <f t="shared" si="9"/>
        <v>0.77777777777777779</v>
      </c>
    </row>
    <row r="38" spans="1:39" ht="15" customHeight="1">
      <c r="A38" s="72">
        <v>35</v>
      </c>
      <c r="B38" s="48" t="s">
        <v>76</v>
      </c>
      <c r="C38" s="22" t="s">
        <v>109</v>
      </c>
      <c r="D38" s="43">
        <v>1</v>
      </c>
      <c r="E38" s="43">
        <v>1</v>
      </c>
      <c r="F38" s="43">
        <v>1</v>
      </c>
      <c r="G38" s="43">
        <v>1</v>
      </c>
      <c r="H38" s="43" t="s">
        <v>109</v>
      </c>
      <c r="I38" s="22" t="s">
        <v>109</v>
      </c>
      <c r="J38" s="43"/>
      <c r="K38" s="43"/>
      <c r="L38" s="43"/>
      <c r="M38" s="43"/>
      <c r="N38" s="43"/>
      <c r="O38" s="43"/>
      <c r="P38" s="43"/>
      <c r="Q38" s="43">
        <v>1</v>
      </c>
      <c r="R38" s="43">
        <v>1</v>
      </c>
      <c r="S38" s="43">
        <v>1</v>
      </c>
      <c r="T38" s="22" t="s">
        <v>109</v>
      </c>
      <c r="U38" s="43">
        <v>1</v>
      </c>
      <c r="V38" s="22" t="s">
        <v>109</v>
      </c>
      <c r="W38" s="22" t="s">
        <v>109</v>
      </c>
      <c r="X38" s="22" t="s">
        <v>109</v>
      </c>
      <c r="Y38" s="43">
        <v>1</v>
      </c>
      <c r="Z38" s="22" t="s">
        <v>109</v>
      </c>
      <c r="AA38" s="22" t="s">
        <v>109</v>
      </c>
      <c r="AB38" s="22" t="s">
        <v>109</v>
      </c>
      <c r="AC38" s="22" t="s">
        <v>109</v>
      </c>
      <c r="AD38" s="22" t="s">
        <v>109</v>
      </c>
      <c r="AE38" s="23">
        <f t="shared" si="5"/>
        <v>1</v>
      </c>
      <c r="AF38" s="23" t="e">
        <f t="shared" si="6"/>
        <v>#DIV/0!</v>
      </c>
      <c r="AG38" s="10">
        <f t="shared" si="7"/>
        <v>1</v>
      </c>
      <c r="AH38" s="10">
        <f t="shared" si="8"/>
        <v>1</v>
      </c>
      <c r="AI38" s="8">
        <f t="shared" si="9"/>
        <v>1</v>
      </c>
    </row>
    <row r="39" spans="1:39" ht="15" customHeight="1">
      <c r="A39" s="72">
        <v>36</v>
      </c>
      <c r="B39" s="48" t="s">
        <v>103</v>
      </c>
      <c r="C39" s="22" t="s">
        <v>109</v>
      </c>
      <c r="D39" s="22">
        <v>1</v>
      </c>
      <c r="E39" s="22">
        <v>0</v>
      </c>
      <c r="F39" s="22">
        <v>0</v>
      </c>
      <c r="G39" s="22">
        <v>1</v>
      </c>
      <c r="H39" s="22">
        <v>0</v>
      </c>
      <c r="I39" s="22" t="s">
        <v>109</v>
      </c>
      <c r="J39" s="22"/>
      <c r="K39" s="22"/>
      <c r="L39" s="22"/>
      <c r="M39" s="22"/>
      <c r="N39" s="22"/>
      <c r="O39" s="22"/>
      <c r="P39" s="22"/>
      <c r="Q39" s="43" t="s">
        <v>109</v>
      </c>
      <c r="R39" s="22">
        <v>0</v>
      </c>
      <c r="S39" s="22">
        <v>0</v>
      </c>
      <c r="T39" s="22" t="s">
        <v>109</v>
      </c>
      <c r="U39" s="22">
        <v>1</v>
      </c>
      <c r="V39" s="22" t="s">
        <v>109</v>
      </c>
      <c r="W39" s="22" t="s">
        <v>109</v>
      </c>
      <c r="X39" s="22" t="s">
        <v>109</v>
      </c>
      <c r="Y39" s="22">
        <v>1</v>
      </c>
      <c r="Z39" s="22" t="s">
        <v>109</v>
      </c>
      <c r="AA39" s="22" t="s">
        <v>109</v>
      </c>
      <c r="AB39" s="22" t="s">
        <v>109</v>
      </c>
      <c r="AC39" s="22">
        <v>0</v>
      </c>
      <c r="AD39" s="22" t="s">
        <v>109</v>
      </c>
      <c r="AE39" s="23">
        <f t="shared" si="5"/>
        <v>0.4</v>
      </c>
      <c r="AF39" s="23" t="e">
        <f t="shared" si="6"/>
        <v>#DIV/0!</v>
      </c>
      <c r="AG39" s="10">
        <f t="shared" si="7"/>
        <v>0.33333333333333331</v>
      </c>
      <c r="AH39" s="10">
        <f t="shared" si="8"/>
        <v>0.5</v>
      </c>
      <c r="AI39" s="8">
        <f t="shared" si="9"/>
        <v>0.375</v>
      </c>
    </row>
    <row r="40" spans="1:39" ht="15" customHeight="1">
      <c r="A40" s="72">
        <v>37</v>
      </c>
      <c r="B40" s="48" t="s">
        <v>77</v>
      </c>
      <c r="C40" s="22" t="s">
        <v>109</v>
      </c>
      <c r="D40" s="43">
        <v>1</v>
      </c>
      <c r="E40" s="43">
        <v>1</v>
      </c>
      <c r="F40" s="43">
        <v>1</v>
      </c>
      <c r="G40" s="43">
        <v>1</v>
      </c>
      <c r="H40" s="43">
        <v>1</v>
      </c>
      <c r="I40" s="22" t="s">
        <v>109</v>
      </c>
      <c r="J40" s="43"/>
      <c r="K40" s="43"/>
      <c r="L40" s="43"/>
      <c r="M40" s="43"/>
      <c r="N40" s="43"/>
      <c r="O40" s="43"/>
      <c r="P40" s="43"/>
      <c r="Q40" s="22">
        <v>1</v>
      </c>
      <c r="R40" s="43">
        <v>1</v>
      </c>
      <c r="S40" s="43">
        <v>1</v>
      </c>
      <c r="T40" s="22" t="s">
        <v>109</v>
      </c>
      <c r="U40" s="43">
        <v>1</v>
      </c>
      <c r="V40" s="22" t="s">
        <v>109</v>
      </c>
      <c r="W40" s="22" t="s">
        <v>109</v>
      </c>
      <c r="X40" s="22" t="s">
        <v>109</v>
      </c>
      <c r="Y40" s="43">
        <v>1</v>
      </c>
      <c r="Z40" s="22" t="s">
        <v>109</v>
      </c>
      <c r="AA40" s="22" t="s">
        <v>109</v>
      </c>
      <c r="AB40" s="22" t="s">
        <v>109</v>
      </c>
      <c r="AC40" s="22">
        <v>0</v>
      </c>
      <c r="AD40" s="22" t="s">
        <v>109</v>
      </c>
      <c r="AE40" s="23">
        <f t="shared" si="5"/>
        <v>1</v>
      </c>
      <c r="AF40" s="23" t="e">
        <f t="shared" si="6"/>
        <v>#DIV/0!</v>
      </c>
      <c r="AG40" s="10">
        <f t="shared" si="7"/>
        <v>1</v>
      </c>
      <c r="AH40" s="10">
        <f t="shared" si="8"/>
        <v>0.5</v>
      </c>
      <c r="AI40" s="8">
        <f t="shared" si="9"/>
        <v>1</v>
      </c>
    </row>
    <row r="41" spans="1:39" ht="15" customHeight="1">
      <c r="A41" s="72">
        <v>38</v>
      </c>
      <c r="B41" s="48" t="s">
        <v>78</v>
      </c>
      <c r="C41" s="22" t="s">
        <v>109</v>
      </c>
      <c r="D41" s="22">
        <v>1</v>
      </c>
      <c r="E41" s="22">
        <v>1</v>
      </c>
      <c r="F41" s="22">
        <v>1</v>
      </c>
      <c r="G41" s="22" t="s">
        <v>109</v>
      </c>
      <c r="H41" s="22" t="s">
        <v>109</v>
      </c>
      <c r="I41" s="22" t="s">
        <v>109</v>
      </c>
      <c r="J41" s="22"/>
      <c r="K41" s="22"/>
      <c r="L41" s="22"/>
      <c r="M41" s="22"/>
      <c r="N41" s="22"/>
      <c r="O41" s="22"/>
      <c r="P41" s="22"/>
      <c r="Q41" s="43">
        <v>1</v>
      </c>
      <c r="R41" s="22">
        <v>1</v>
      </c>
      <c r="S41" s="22">
        <v>1</v>
      </c>
      <c r="T41" s="22" t="s">
        <v>109</v>
      </c>
      <c r="U41" s="22" t="s">
        <v>109</v>
      </c>
      <c r="V41" s="22" t="s">
        <v>109</v>
      </c>
      <c r="W41" s="22" t="s">
        <v>109</v>
      </c>
      <c r="X41" s="22" t="s">
        <v>109</v>
      </c>
      <c r="Y41" s="22">
        <v>1</v>
      </c>
      <c r="Z41" s="22" t="s">
        <v>109</v>
      </c>
      <c r="AA41" s="22" t="s">
        <v>109</v>
      </c>
      <c r="AB41" s="22" t="s">
        <v>109</v>
      </c>
      <c r="AC41" s="22" t="s">
        <v>109</v>
      </c>
      <c r="AD41" s="22" t="s">
        <v>109</v>
      </c>
      <c r="AE41" s="23">
        <f t="shared" si="5"/>
        <v>1</v>
      </c>
      <c r="AF41" s="23" t="e">
        <f t="shared" si="6"/>
        <v>#DIV/0!</v>
      </c>
      <c r="AG41" s="10">
        <f t="shared" si="7"/>
        <v>1</v>
      </c>
      <c r="AH41" s="10">
        <f t="shared" si="8"/>
        <v>1</v>
      </c>
      <c r="AI41" s="8">
        <f t="shared" si="9"/>
        <v>1</v>
      </c>
    </row>
    <row r="42" spans="1:39" ht="15" customHeight="1">
      <c r="A42" s="72">
        <v>39</v>
      </c>
      <c r="B42" s="48" t="s">
        <v>79</v>
      </c>
      <c r="C42" s="22" t="s">
        <v>109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22" t="s">
        <v>109</v>
      </c>
      <c r="J42" s="43"/>
      <c r="K42" s="43"/>
      <c r="L42" s="43"/>
      <c r="M42" s="43"/>
      <c r="N42" s="43"/>
      <c r="O42" s="43"/>
      <c r="P42" s="43"/>
      <c r="Q42" s="22">
        <v>0</v>
      </c>
      <c r="R42" s="43">
        <v>1</v>
      </c>
      <c r="S42" s="43" t="s">
        <v>109</v>
      </c>
      <c r="T42" s="22" t="s">
        <v>109</v>
      </c>
      <c r="U42" s="43">
        <v>0</v>
      </c>
      <c r="V42" s="22" t="s">
        <v>109</v>
      </c>
      <c r="W42" s="22" t="s">
        <v>109</v>
      </c>
      <c r="X42" s="22" t="s">
        <v>109</v>
      </c>
      <c r="Y42" s="43">
        <v>0</v>
      </c>
      <c r="Z42" s="22" t="s">
        <v>109</v>
      </c>
      <c r="AA42" s="22" t="s">
        <v>109</v>
      </c>
      <c r="AB42" s="22" t="s">
        <v>109</v>
      </c>
      <c r="AC42" s="22">
        <v>0</v>
      </c>
      <c r="AD42" s="22" t="s">
        <v>109</v>
      </c>
      <c r="AE42" s="23">
        <f t="shared" si="5"/>
        <v>0</v>
      </c>
      <c r="AF42" s="23" t="e">
        <f t="shared" si="6"/>
        <v>#DIV/0!</v>
      </c>
      <c r="AG42" s="10">
        <f t="shared" si="7"/>
        <v>0.33333333333333331</v>
      </c>
      <c r="AH42" s="10">
        <f t="shared" si="8"/>
        <v>0</v>
      </c>
      <c r="AI42" s="8">
        <f t="shared" si="9"/>
        <v>0.125</v>
      </c>
    </row>
    <row r="43" spans="1:39" ht="15" customHeight="1">
      <c r="A43" s="72">
        <v>40</v>
      </c>
      <c r="B43" s="48" t="s">
        <v>80</v>
      </c>
      <c r="C43" s="22" t="s">
        <v>109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2" t="s">
        <v>109</v>
      </c>
      <c r="J43" s="22"/>
      <c r="K43" s="22"/>
      <c r="L43" s="22"/>
      <c r="M43" s="22"/>
      <c r="N43" s="22"/>
      <c r="O43" s="22"/>
      <c r="P43" s="22"/>
      <c r="Q43" s="43">
        <v>1</v>
      </c>
      <c r="R43" s="22">
        <v>1</v>
      </c>
      <c r="S43" s="22">
        <v>1</v>
      </c>
      <c r="T43" s="22" t="s">
        <v>109</v>
      </c>
      <c r="U43" s="22">
        <v>0</v>
      </c>
      <c r="V43" s="22" t="s">
        <v>109</v>
      </c>
      <c r="W43" s="22" t="s">
        <v>109</v>
      </c>
      <c r="X43" s="22" t="s">
        <v>109</v>
      </c>
      <c r="Y43" s="22">
        <v>1</v>
      </c>
      <c r="Z43" s="22" t="s">
        <v>109</v>
      </c>
      <c r="AA43" s="22" t="s">
        <v>109</v>
      </c>
      <c r="AB43" s="22" t="s">
        <v>109</v>
      </c>
      <c r="AC43" s="22">
        <v>0</v>
      </c>
      <c r="AD43" s="22" t="s">
        <v>109</v>
      </c>
      <c r="AE43" s="23">
        <f t="shared" si="5"/>
        <v>1</v>
      </c>
      <c r="AF43" s="23" t="e">
        <f t="shared" si="6"/>
        <v>#DIV/0!</v>
      </c>
      <c r="AG43" s="10">
        <f t="shared" si="7"/>
        <v>0.75</v>
      </c>
      <c r="AH43" s="10">
        <f t="shared" si="8"/>
        <v>0.5</v>
      </c>
      <c r="AI43" s="8">
        <f t="shared" si="9"/>
        <v>0.88888888888888884</v>
      </c>
    </row>
    <row r="44" spans="1:39" ht="15" customHeight="1">
      <c r="A44" s="72">
        <v>41</v>
      </c>
      <c r="B44" s="48" t="s">
        <v>81</v>
      </c>
      <c r="C44" s="22" t="s">
        <v>109</v>
      </c>
      <c r="D44" s="43">
        <v>1</v>
      </c>
      <c r="E44" s="43">
        <v>1</v>
      </c>
      <c r="F44" s="43">
        <v>1</v>
      </c>
      <c r="G44" s="43">
        <v>1</v>
      </c>
      <c r="H44" s="43">
        <v>1</v>
      </c>
      <c r="I44" s="22" t="s">
        <v>109</v>
      </c>
      <c r="J44" s="43"/>
      <c r="K44" s="43"/>
      <c r="L44" s="43"/>
      <c r="M44" s="43"/>
      <c r="N44" s="43"/>
      <c r="O44" s="43"/>
      <c r="P44" s="43"/>
      <c r="Q44" s="22">
        <v>1</v>
      </c>
      <c r="R44" s="43">
        <v>1</v>
      </c>
      <c r="S44" s="43">
        <v>1</v>
      </c>
      <c r="T44" s="22" t="s">
        <v>109</v>
      </c>
      <c r="U44" s="43">
        <v>1</v>
      </c>
      <c r="V44" s="22" t="s">
        <v>109</v>
      </c>
      <c r="W44" s="22" t="s">
        <v>109</v>
      </c>
      <c r="X44" s="22" t="s">
        <v>109</v>
      </c>
      <c r="Y44" s="43">
        <v>1</v>
      </c>
      <c r="Z44" s="22" t="s">
        <v>109</v>
      </c>
      <c r="AA44" s="22" t="s">
        <v>109</v>
      </c>
      <c r="AB44" s="22" t="s">
        <v>109</v>
      </c>
      <c r="AC44" s="22">
        <v>1</v>
      </c>
      <c r="AD44" s="22" t="s">
        <v>109</v>
      </c>
      <c r="AE44" s="23">
        <f t="shared" si="5"/>
        <v>1</v>
      </c>
      <c r="AF44" s="23" t="e">
        <f t="shared" si="6"/>
        <v>#DIV/0!</v>
      </c>
      <c r="AG44" s="10">
        <f t="shared" si="7"/>
        <v>1</v>
      </c>
      <c r="AH44" s="10">
        <f t="shared" si="8"/>
        <v>1</v>
      </c>
      <c r="AI44" s="8">
        <f t="shared" si="9"/>
        <v>1</v>
      </c>
    </row>
    <row r="45" spans="1:39" ht="15" customHeight="1" thickBot="1">
      <c r="A45" s="72">
        <v>42</v>
      </c>
      <c r="B45" s="52" t="s">
        <v>69</v>
      </c>
      <c r="C45" s="22" t="s">
        <v>109</v>
      </c>
      <c r="D45" s="22">
        <v>1</v>
      </c>
      <c r="E45" s="22">
        <v>1</v>
      </c>
      <c r="F45" s="22">
        <v>1</v>
      </c>
      <c r="G45" s="22">
        <v>1</v>
      </c>
      <c r="H45" s="22">
        <v>1</v>
      </c>
      <c r="I45" s="22" t="s">
        <v>109</v>
      </c>
      <c r="J45" s="22"/>
      <c r="K45" s="22"/>
      <c r="L45" s="22"/>
      <c r="M45" s="22"/>
      <c r="N45" s="22"/>
      <c r="O45" s="22"/>
      <c r="P45" s="22"/>
      <c r="Q45" s="43">
        <v>1</v>
      </c>
      <c r="R45" s="22">
        <v>1</v>
      </c>
      <c r="S45" s="22">
        <v>1</v>
      </c>
      <c r="T45" s="22" t="s">
        <v>109</v>
      </c>
      <c r="U45" s="22">
        <v>0</v>
      </c>
      <c r="V45" s="22" t="s">
        <v>109</v>
      </c>
      <c r="W45" s="22" t="s">
        <v>109</v>
      </c>
      <c r="X45" s="22" t="s">
        <v>109</v>
      </c>
      <c r="Y45" s="22">
        <v>1</v>
      </c>
      <c r="Z45" s="22" t="s">
        <v>109</v>
      </c>
      <c r="AA45" s="22" t="s">
        <v>109</v>
      </c>
      <c r="AB45" s="22" t="s">
        <v>109</v>
      </c>
      <c r="AC45" s="22">
        <v>0</v>
      </c>
      <c r="AD45" s="22" t="s">
        <v>109</v>
      </c>
      <c r="AE45" s="23">
        <f t="shared" si="5"/>
        <v>1</v>
      </c>
      <c r="AF45" s="23" t="e">
        <f t="shared" si="6"/>
        <v>#DIV/0!</v>
      </c>
      <c r="AG45" s="10">
        <f>AVERAGE(Q45:W45)</f>
        <v>0.75</v>
      </c>
      <c r="AH45" s="10">
        <f>AVERAGE(X45:AD45)</f>
        <v>0.5</v>
      </c>
      <c r="AI45" s="8">
        <f t="shared" si="9"/>
        <v>0.88888888888888884</v>
      </c>
    </row>
    <row r="46" spans="1:39" ht="15" customHeight="1">
      <c r="A46" s="39">
        <v>43</v>
      </c>
      <c r="B46" s="48"/>
      <c r="C46" s="22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22"/>
      <c r="W46" s="22"/>
      <c r="X46" s="22"/>
      <c r="Y46" s="43"/>
      <c r="Z46" s="43"/>
      <c r="AA46" s="43"/>
      <c r="AB46" s="43"/>
      <c r="AC46" s="22"/>
      <c r="AD46" s="22"/>
      <c r="AE46" s="23" t="e">
        <f t="shared" si="5"/>
        <v>#DIV/0!</v>
      </c>
      <c r="AF46" s="23" t="e">
        <f t="shared" si="6"/>
        <v>#DIV/0!</v>
      </c>
      <c r="AG46" s="10" t="e">
        <f t="shared" si="7"/>
        <v>#DIV/0!</v>
      </c>
      <c r="AH46" s="10" t="e">
        <f t="shared" si="8"/>
        <v>#DIV/0!</v>
      </c>
      <c r="AI46" s="8" t="e">
        <f t="shared" si="9"/>
        <v>#DIV/0!</v>
      </c>
    </row>
    <row r="47" spans="1:39" ht="15" customHeight="1">
      <c r="A47" s="71">
        <v>44</v>
      </c>
      <c r="B47" s="48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3" t="e">
        <f t="shared" si="5"/>
        <v>#DIV/0!</v>
      </c>
      <c r="AF47" s="23" t="e">
        <f t="shared" si="6"/>
        <v>#DIV/0!</v>
      </c>
      <c r="AG47" s="10" t="e">
        <f t="shared" si="7"/>
        <v>#DIV/0!</v>
      </c>
      <c r="AH47" s="10" t="e">
        <f t="shared" si="8"/>
        <v>#DIV/0!</v>
      </c>
      <c r="AI47" s="8" t="e">
        <f t="shared" si="9"/>
        <v>#DIV/0!</v>
      </c>
    </row>
    <row r="48" spans="1:39" ht="15" customHeight="1">
      <c r="A48" s="72">
        <v>45</v>
      </c>
      <c r="B48" s="5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3" t="e">
        <f t="shared" si="5"/>
        <v>#DIV/0!</v>
      </c>
      <c r="AF48" s="23" t="e">
        <f t="shared" si="6"/>
        <v>#DIV/0!</v>
      </c>
      <c r="AG48" s="10" t="e">
        <f t="shared" si="7"/>
        <v>#DIV/0!</v>
      </c>
      <c r="AH48" s="10" t="e">
        <f t="shared" si="8"/>
        <v>#DIV/0!</v>
      </c>
      <c r="AI48" s="8" t="e">
        <f t="shared" si="9"/>
        <v>#DIV/0!</v>
      </c>
    </row>
    <row r="49" spans="1:35" ht="15" customHeight="1">
      <c r="A49" s="39">
        <v>46</v>
      </c>
      <c r="B49" s="48"/>
      <c r="C49" s="22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22"/>
      <c r="W49" s="22"/>
      <c r="X49" s="22"/>
      <c r="Y49" s="43"/>
      <c r="Z49" s="43"/>
      <c r="AA49" s="43"/>
      <c r="AB49" s="43"/>
      <c r="AC49" s="22"/>
      <c r="AD49" s="22"/>
      <c r="AE49" s="23" t="e">
        <f t="shared" si="5"/>
        <v>#DIV/0!</v>
      </c>
      <c r="AF49" s="23" t="e">
        <f t="shared" si="6"/>
        <v>#DIV/0!</v>
      </c>
      <c r="AG49" s="10" t="e">
        <f t="shared" si="7"/>
        <v>#DIV/0!</v>
      </c>
      <c r="AH49" s="10" t="e">
        <f t="shared" si="8"/>
        <v>#DIV/0!</v>
      </c>
      <c r="AI49" s="8" t="e">
        <f t="shared" si="9"/>
        <v>#DIV/0!</v>
      </c>
    </row>
    <row r="50" spans="1:35" ht="15" customHeight="1">
      <c r="A50" s="71">
        <v>47</v>
      </c>
      <c r="B50" s="48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 t="e">
        <f t="shared" si="5"/>
        <v>#DIV/0!</v>
      </c>
      <c r="AF50" s="23" t="e">
        <f t="shared" ref="AF50:AF54" si="10">AVERAGE(J50:P50)</f>
        <v>#DIV/0!</v>
      </c>
      <c r="AG50" s="10" t="e">
        <f t="shared" ref="AG50:AG54" si="11">AVERAGE(Q50:W50)</f>
        <v>#DIV/0!</v>
      </c>
      <c r="AH50" s="10" t="e">
        <f t="shared" ref="AH50:AH54" si="12">AVERAGE(X50:AD50)</f>
        <v>#DIV/0!</v>
      </c>
      <c r="AI50" s="8" t="e">
        <f t="shared" ref="AI50:AI54" si="13">AVERAGE(C50:W50)</f>
        <v>#DIV/0!</v>
      </c>
    </row>
    <row r="51" spans="1:35" ht="15" customHeight="1">
      <c r="A51" s="72">
        <v>48</v>
      </c>
      <c r="B51" s="53"/>
      <c r="C51" s="22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22"/>
      <c r="W51" s="22"/>
      <c r="X51" s="22"/>
      <c r="Y51" s="43"/>
      <c r="Z51" s="43"/>
      <c r="AA51" s="43"/>
      <c r="AB51" s="43"/>
      <c r="AC51" s="22"/>
      <c r="AD51" s="22"/>
      <c r="AE51" s="23" t="e">
        <f t="shared" si="5"/>
        <v>#DIV/0!</v>
      </c>
      <c r="AF51" s="23" t="e">
        <f t="shared" si="10"/>
        <v>#DIV/0!</v>
      </c>
      <c r="AG51" s="10" t="e">
        <f t="shared" si="11"/>
        <v>#DIV/0!</v>
      </c>
      <c r="AH51" s="10" t="e">
        <f t="shared" si="12"/>
        <v>#DIV/0!</v>
      </c>
      <c r="AI51" s="8" t="e">
        <f t="shared" si="13"/>
        <v>#DIV/0!</v>
      </c>
    </row>
    <row r="52" spans="1:35" ht="15" customHeight="1">
      <c r="A52" s="39">
        <v>49</v>
      </c>
      <c r="B52" s="48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 t="e">
        <f t="shared" si="5"/>
        <v>#DIV/0!</v>
      </c>
      <c r="AF52" s="23" t="e">
        <f t="shared" si="10"/>
        <v>#DIV/0!</v>
      </c>
      <c r="AG52" s="10" t="e">
        <f t="shared" si="11"/>
        <v>#DIV/0!</v>
      </c>
      <c r="AH52" s="10" t="e">
        <f t="shared" si="12"/>
        <v>#DIV/0!</v>
      </c>
      <c r="AI52" s="8" t="e">
        <f t="shared" si="13"/>
        <v>#DIV/0!</v>
      </c>
    </row>
    <row r="53" spans="1:35" ht="15" customHeight="1">
      <c r="A53" s="71">
        <v>50</v>
      </c>
      <c r="B53" s="48"/>
      <c r="C53" s="22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22"/>
      <c r="W53" s="22"/>
      <c r="X53" s="22"/>
      <c r="Y53" s="43"/>
      <c r="Z53" s="43"/>
      <c r="AA53" s="43"/>
      <c r="AB53" s="43"/>
      <c r="AC53" s="22"/>
      <c r="AD53" s="22"/>
      <c r="AE53" s="23" t="e">
        <f t="shared" si="5"/>
        <v>#DIV/0!</v>
      </c>
      <c r="AF53" s="23" t="e">
        <f t="shared" si="10"/>
        <v>#DIV/0!</v>
      </c>
      <c r="AG53" s="10" t="e">
        <f t="shared" si="11"/>
        <v>#DIV/0!</v>
      </c>
      <c r="AH53" s="10" t="e">
        <f t="shared" si="12"/>
        <v>#DIV/0!</v>
      </c>
      <c r="AI53" s="8" t="e">
        <f t="shared" si="13"/>
        <v>#DIV/0!</v>
      </c>
    </row>
    <row r="54" spans="1:35" ht="15" customHeight="1">
      <c r="A54" s="72">
        <v>51</v>
      </c>
      <c r="B54" s="48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3" t="e">
        <f t="shared" si="5"/>
        <v>#DIV/0!</v>
      </c>
      <c r="AF54" s="23" t="e">
        <f t="shared" si="10"/>
        <v>#DIV/0!</v>
      </c>
      <c r="AG54" s="10" t="e">
        <f t="shared" si="11"/>
        <v>#DIV/0!</v>
      </c>
      <c r="AH54" s="10" t="e">
        <f t="shared" si="12"/>
        <v>#DIV/0!</v>
      </c>
      <c r="AI54" s="8" t="e">
        <f t="shared" si="13"/>
        <v>#DIV/0!</v>
      </c>
    </row>
    <row r="55" spans="1:35" ht="15" customHeight="1">
      <c r="A55" s="39">
        <v>52</v>
      </c>
      <c r="B55" s="48"/>
      <c r="C55" s="22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22"/>
      <c r="W55" s="22"/>
      <c r="X55" s="22"/>
      <c r="Y55" s="43"/>
      <c r="Z55" s="43"/>
      <c r="AA55" s="43"/>
      <c r="AB55" s="43"/>
      <c r="AC55" s="22"/>
      <c r="AD55" s="22"/>
      <c r="AE55" s="23" t="e">
        <f t="shared" ref="AE55:AE59" si="14">AVERAGE(C55:I55)</f>
        <v>#DIV/0!</v>
      </c>
      <c r="AF55" s="23" t="e">
        <f t="shared" ref="AF55:AF59" si="15">AVERAGE(J55:P55)</f>
        <v>#DIV/0!</v>
      </c>
      <c r="AG55" s="10" t="e">
        <f t="shared" ref="AG55:AG59" si="16">AVERAGE(Q55:W55)</f>
        <v>#DIV/0!</v>
      </c>
      <c r="AH55" s="10" t="e">
        <f t="shared" ref="AH55:AH59" si="17">AVERAGE(X55:AD55)</f>
        <v>#DIV/0!</v>
      </c>
      <c r="AI55" s="8" t="e">
        <f t="shared" ref="AI55:AI59" si="18">AVERAGE(C55:W55)</f>
        <v>#DIV/0!</v>
      </c>
    </row>
    <row r="56" spans="1:35" ht="15" customHeight="1">
      <c r="A56" s="71">
        <v>53</v>
      </c>
      <c r="B56" s="5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3" t="e">
        <f t="shared" si="14"/>
        <v>#DIV/0!</v>
      </c>
      <c r="AF56" s="23" t="e">
        <f t="shared" si="15"/>
        <v>#DIV/0!</v>
      </c>
      <c r="AG56" s="10" t="e">
        <f t="shared" si="16"/>
        <v>#DIV/0!</v>
      </c>
      <c r="AH56" s="10" t="e">
        <f t="shared" si="17"/>
        <v>#DIV/0!</v>
      </c>
      <c r="AI56" s="8" t="e">
        <f t="shared" si="18"/>
        <v>#DIV/0!</v>
      </c>
    </row>
    <row r="57" spans="1:35" ht="15" customHeight="1">
      <c r="A57" s="72">
        <v>54</v>
      </c>
      <c r="B57" s="70"/>
      <c r="C57" s="22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22"/>
      <c r="W57" s="22"/>
      <c r="X57" s="22"/>
      <c r="Y57" s="43"/>
      <c r="Z57" s="43"/>
      <c r="AA57" s="43"/>
      <c r="AB57" s="43"/>
      <c r="AC57" s="22"/>
      <c r="AD57" s="22"/>
      <c r="AE57" s="23" t="e">
        <f t="shared" si="14"/>
        <v>#DIV/0!</v>
      </c>
      <c r="AF57" s="23" t="e">
        <f t="shared" si="15"/>
        <v>#DIV/0!</v>
      </c>
      <c r="AG57" s="10" t="e">
        <f t="shared" si="16"/>
        <v>#DIV/0!</v>
      </c>
      <c r="AH57" s="10" t="e">
        <f t="shared" si="17"/>
        <v>#DIV/0!</v>
      </c>
      <c r="AI57" s="8" t="e">
        <f t="shared" si="18"/>
        <v>#DIV/0!</v>
      </c>
    </row>
    <row r="58" spans="1:35" ht="15" customHeight="1">
      <c r="A58" s="72">
        <v>55</v>
      </c>
      <c r="B58" s="48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3" t="e">
        <f t="shared" si="14"/>
        <v>#DIV/0!</v>
      </c>
      <c r="AF58" s="23" t="e">
        <f t="shared" si="15"/>
        <v>#DIV/0!</v>
      </c>
      <c r="AG58" s="10" t="e">
        <f t="shared" si="16"/>
        <v>#DIV/0!</v>
      </c>
      <c r="AH58" s="10" t="e">
        <f t="shared" si="17"/>
        <v>#DIV/0!</v>
      </c>
      <c r="AI58" s="8" t="e">
        <f t="shared" si="18"/>
        <v>#DIV/0!</v>
      </c>
    </row>
    <row r="59" spans="1:35" ht="15" customHeight="1" thickBot="1">
      <c r="A59" s="39">
        <v>56</v>
      </c>
      <c r="B59" s="81" t="s">
        <v>89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23" t="e">
        <f t="shared" si="14"/>
        <v>#DIV/0!</v>
      </c>
      <c r="AF59" s="23" t="e">
        <f t="shared" si="15"/>
        <v>#DIV/0!</v>
      </c>
      <c r="AG59" s="10" t="e">
        <f t="shared" si="16"/>
        <v>#DIV/0!</v>
      </c>
      <c r="AH59" s="10" t="e">
        <f t="shared" si="17"/>
        <v>#DIV/0!</v>
      </c>
      <c r="AI59" s="8" t="e">
        <f t="shared" si="18"/>
        <v>#DIV/0!</v>
      </c>
    </row>
    <row r="60" spans="1:35" s="33" customFormat="1" ht="24" customHeight="1">
      <c r="B60" s="2"/>
      <c r="C60" s="46" t="s">
        <v>34</v>
      </c>
      <c r="D60" s="32" t="s">
        <v>32</v>
      </c>
      <c r="F60" s="37" t="s">
        <v>38</v>
      </c>
      <c r="G60" s="36" t="s">
        <v>39</v>
      </c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</row>
    <row r="61" spans="1:35" s="33" customFormat="1" ht="17.25" customHeight="1">
      <c r="B61" s="2"/>
      <c r="C61" s="46" t="s">
        <v>35</v>
      </c>
      <c r="D61" s="34" t="s">
        <v>33</v>
      </c>
    </row>
    <row r="62" spans="1:35" ht="17.25" customHeight="1">
      <c r="C62" s="46" t="s">
        <v>36</v>
      </c>
      <c r="D62" s="35">
        <v>1</v>
      </c>
    </row>
    <row r="63" spans="1:35" ht="17.25" customHeight="1">
      <c r="C63" s="46" t="s">
        <v>37</v>
      </c>
      <c r="D63" s="35" t="s">
        <v>51</v>
      </c>
    </row>
    <row r="64" spans="1:35" ht="17.25" customHeight="1">
      <c r="C64" s="45" t="s">
        <v>48</v>
      </c>
      <c r="D64" s="45" t="s">
        <v>47</v>
      </c>
    </row>
    <row r="65" spans="3:4" ht="17.25" customHeight="1">
      <c r="C65" s="45" t="s">
        <v>90</v>
      </c>
      <c r="D65" s="45" t="s">
        <v>54</v>
      </c>
    </row>
    <row r="66" spans="3:4" ht="17.25" customHeight="1">
      <c r="C66" s="1" t="s">
        <v>91</v>
      </c>
      <c r="D66" s="1" t="s">
        <v>88</v>
      </c>
    </row>
    <row r="67" spans="3:4">
      <c r="C67" s="1" t="s">
        <v>92</v>
      </c>
      <c r="D67" s="1" t="s">
        <v>53</v>
      </c>
    </row>
  </sheetData>
  <mergeCells count="8">
    <mergeCell ref="AE1:AI1"/>
    <mergeCell ref="A1:AD1"/>
    <mergeCell ref="A2:B2"/>
    <mergeCell ref="AE2:AI2"/>
    <mergeCell ref="Q2:W2"/>
    <mergeCell ref="X2:AD2"/>
    <mergeCell ref="C2:I2"/>
    <mergeCell ref="J2:P2"/>
  </mergeCells>
  <phoneticPr fontId="33" type="noConversion"/>
  <conditionalFormatting sqref="W5:W58 C4:AD57">
    <cfRule type="containsText" dxfId="64" priority="1" operator="containsText" text="y">
      <formula>NOT(ISERROR(SEARCH("y",C4)))</formula>
    </cfRule>
  </conditionalFormatting>
  <conditionalFormatting sqref="C4:AD58">
    <cfRule type="containsText" dxfId="63" priority="2" operator="containsText" text="i">
      <formula>NOT(ISERROR(SEARCH("i",C4)))</formula>
    </cfRule>
  </conditionalFormatting>
  <conditionalFormatting sqref="C4:AD59">
    <cfRule type="cellIs" dxfId="62" priority="88" operator="equal">
      <formula>"İ"</formula>
    </cfRule>
    <cfRule type="cellIs" dxfId="61" priority="89" operator="equal">
      <formula>"N"</formula>
    </cfRule>
    <cfRule type="cellIs" dxfId="60" priority="359" operator="equal">
      <formula>"o"</formula>
    </cfRule>
  </conditionalFormatting>
  <conditionalFormatting sqref="D53:W53 D5:AD5 D7:Y7 D9:Y10 D12:Y13 D15:Y15 D17:Y17 D19:Y19 D21:Y21 D23:Y23 D25:Y25 D27:Y27 D29:Y29 D31:P31 R31:W31 Q32 X32 D33:P33 R33:W33 Q34 X34 D35:P35 R35:W35 Q36 X36 D37:P38 R37:W38 Q38:Q39 X38:X39 D40:P40 R40:W40 Q41 X41 D42:P42 R42:W42 Q43 X43 D44:P44 R44:W44 Q45 X45 D46:W46 D49:W49 D51:W51 D55:W55 D57:W57 C59:AD59 V4:W45 Y4:AD58">
    <cfRule type="cellIs" dxfId="59" priority="83" operator="equal">
      <formula>0</formula>
    </cfRule>
    <cfRule type="cellIs" dxfId="58" priority="84" operator="equal">
      <formula>"H"</formula>
    </cfRule>
    <cfRule type="cellIs" dxfId="57" priority="85" operator="equal">
      <formula>"i"</formula>
    </cfRule>
    <cfRule type="cellIs" dxfId="56" priority="86" operator="equal">
      <formula>"Y"</formula>
    </cfRule>
    <cfRule type="cellIs" dxfId="55" priority="87" operator="equal">
      <formula>"N"</formula>
    </cfRule>
  </conditionalFormatting>
  <conditionalFormatting sqref="L53">
    <cfRule type="containsText" dxfId="54" priority="6" operator="containsText" text="i">
      <formula>NOT(ISERROR(SEARCH("i",L53)))</formula>
    </cfRule>
  </conditionalFormatting>
  <conditionalFormatting sqref="AE4:AI59">
    <cfRule type="cellIs" dxfId="53" priority="468" operator="between">
      <formula>0.85</formula>
      <formula>1</formula>
    </cfRule>
    <cfRule type="cellIs" dxfId="52" priority="469" operator="between">
      <formula>0.6</formula>
      <formula>0.85</formula>
    </cfRule>
    <cfRule type="cellIs" dxfId="51" priority="470" operator="between">
      <formula>0</formula>
      <formula>0.6</formula>
    </cfRule>
  </conditionalFormatting>
  <pageMargins left="0.11811023622047245" right="0.11811023622047245" top="0.74803149606299213" bottom="0.74803149606299213" header="0.31496062992125984" footer="0.31496062992125984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AM60"/>
  <sheetViews>
    <sheetView zoomScale="70" zoomScaleNormal="70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L7" sqref="AL7"/>
    </sheetView>
  </sheetViews>
  <sheetFormatPr defaultColWidth="9.140625" defaultRowHeight="12.75"/>
  <cols>
    <col min="1" max="1" width="4.28515625" style="1" customWidth="1"/>
    <col min="2" max="2" width="26.28515625" style="2" customWidth="1"/>
    <col min="3" max="3" width="8.28515625" style="1" customWidth="1"/>
    <col min="4" max="8" width="8" style="1" customWidth="1"/>
    <col min="9" max="9" width="7.28515625" style="1" customWidth="1"/>
    <col min="10" max="10" width="8.140625" style="1" hidden="1" customWidth="1"/>
    <col min="11" max="11" width="7.85546875" style="1" hidden="1" customWidth="1"/>
    <col min="12" max="16" width="8.140625" style="1" hidden="1" customWidth="1"/>
    <col min="17" max="26" width="8" style="1" customWidth="1"/>
    <col min="27" max="30" width="8.140625" style="1" customWidth="1"/>
    <col min="31" max="31" width="9.7109375" style="1" customWidth="1"/>
    <col min="32" max="32" width="0.140625" style="1" customWidth="1"/>
    <col min="33" max="33" width="9.140625" style="1" customWidth="1"/>
    <col min="34" max="34" width="9.28515625" style="1" customWidth="1"/>
    <col min="35" max="35" width="7.7109375" style="1" customWidth="1"/>
    <col min="36" max="36" width="9.140625" style="1"/>
    <col min="37" max="37" width="19.7109375" style="1" customWidth="1"/>
    <col min="38" max="38" width="12.42578125" style="1" bestFit="1" customWidth="1"/>
    <col min="39" max="16384" width="9.140625" style="1"/>
  </cols>
  <sheetData>
    <row r="1" spans="1:39" ht="50.1" customHeight="1" thickBot="1">
      <c r="A1" s="113" t="str">
        <f>('1.HAFTA'!A1:AD1)</f>
        <v xml:space="preserve">         TALEBE TAKİP SİSTEMİ 2024-2025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8"/>
      <c r="AE1" s="93" t="str">
        <f>('1.HAFTA'!AE1:AI1)</f>
        <v>Amsterdam Saray</v>
      </c>
      <c r="AF1" s="94"/>
      <c r="AG1" s="94"/>
      <c r="AH1" s="94"/>
      <c r="AI1" s="95"/>
    </row>
    <row r="2" spans="1:39" ht="20.100000000000001" customHeight="1">
      <c r="A2" s="99" t="s">
        <v>26</v>
      </c>
      <c r="B2" s="100"/>
      <c r="C2" s="107" t="s">
        <v>12</v>
      </c>
      <c r="D2" s="108"/>
      <c r="E2" s="108"/>
      <c r="F2" s="108"/>
      <c r="G2" s="108"/>
      <c r="H2" s="108"/>
      <c r="I2" s="109"/>
      <c r="J2" s="110" t="s">
        <v>50</v>
      </c>
      <c r="K2" s="111"/>
      <c r="L2" s="111"/>
      <c r="M2" s="111"/>
      <c r="N2" s="111"/>
      <c r="O2" s="111"/>
      <c r="P2" s="112"/>
      <c r="Q2" s="103" t="s">
        <v>13</v>
      </c>
      <c r="R2" s="104"/>
      <c r="S2" s="104"/>
      <c r="T2" s="104"/>
      <c r="U2" s="104"/>
      <c r="V2" s="104"/>
      <c r="W2" s="104"/>
      <c r="X2" s="105" t="s">
        <v>52</v>
      </c>
      <c r="Y2" s="105"/>
      <c r="Z2" s="105"/>
      <c r="AA2" s="105"/>
      <c r="AB2" s="105"/>
      <c r="AC2" s="105"/>
      <c r="AD2" s="106"/>
      <c r="AE2" s="101" t="s">
        <v>30</v>
      </c>
      <c r="AF2" s="102"/>
      <c r="AG2" s="102"/>
      <c r="AH2" s="102"/>
      <c r="AI2" s="102"/>
    </row>
    <row r="3" spans="1:39" ht="20.100000000000001" customHeight="1">
      <c r="A3" s="5" t="s">
        <v>0</v>
      </c>
      <c r="B3" s="6" t="s">
        <v>1</v>
      </c>
      <c r="C3" s="27" t="s">
        <v>2</v>
      </c>
      <c r="D3" s="27" t="s">
        <v>5</v>
      </c>
      <c r="E3" s="27" t="s">
        <v>6</v>
      </c>
      <c r="F3" s="27" t="s">
        <v>7</v>
      </c>
      <c r="G3" s="27" t="s">
        <v>8</v>
      </c>
      <c r="H3" s="27" t="s">
        <v>27</v>
      </c>
      <c r="I3" s="28" t="s">
        <v>11</v>
      </c>
      <c r="J3" s="41" t="s">
        <v>2</v>
      </c>
      <c r="K3" s="41" t="s">
        <v>5</v>
      </c>
      <c r="L3" s="41" t="s">
        <v>6</v>
      </c>
      <c r="M3" s="41" t="s">
        <v>7</v>
      </c>
      <c r="N3" s="41" t="s">
        <v>8</v>
      </c>
      <c r="O3" s="41" t="s">
        <v>27</v>
      </c>
      <c r="P3" s="42" t="s">
        <v>11</v>
      </c>
      <c r="Q3" s="7" t="s">
        <v>2</v>
      </c>
      <c r="R3" s="7" t="s">
        <v>5</v>
      </c>
      <c r="S3" s="7" t="s">
        <v>6</v>
      </c>
      <c r="T3" s="7" t="s">
        <v>7</v>
      </c>
      <c r="U3" s="7" t="s">
        <v>8</v>
      </c>
      <c r="V3" s="14" t="s">
        <v>27</v>
      </c>
      <c r="W3" s="14" t="s">
        <v>11</v>
      </c>
      <c r="X3" s="24" t="s">
        <v>2</v>
      </c>
      <c r="Y3" s="24" t="s">
        <v>5</v>
      </c>
      <c r="Z3" s="24" t="s">
        <v>6</v>
      </c>
      <c r="AA3" s="24" t="s">
        <v>7</v>
      </c>
      <c r="AB3" s="25" t="s">
        <v>8</v>
      </c>
      <c r="AC3" s="25" t="s">
        <v>27</v>
      </c>
      <c r="AD3" s="25" t="s">
        <v>11</v>
      </c>
      <c r="AE3" s="9" t="s">
        <v>3</v>
      </c>
      <c r="AF3" s="9" t="s">
        <v>41</v>
      </c>
      <c r="AG3" s="9" t="s">
        <v>4</v>
      </c>
      <c r="AH3" s="24" t="s">
        <v>52</v>
      </c>
      <c r="AI3" s="26" t="s">
        <v>9</v>
      </c>
    </row>
    <row r="4" spans="1:39" ht="15" customHeight="1">
      <c r="A4" s="39">
        <v>1</v>
      </c>
      <c r="B4" s="48" t="str">
        <f>'1.HAFTA'!B4</f>
        <v>Abdullah Koşar</v>
      </c>
      <c r="C4" s="43" t="s">
        <v>109</v>
      </c>
      <c r="D4" s="43">
        <v>0</v>
      </c>
      <c r="E4" s="43">
        <v>0</v>
      </c>
      <c r="F4" s="43">
        <v>0</v>
      </c>
      <c r="G4" s="43">
        <v>0</v>
      </c>
      <c r="H4" s="43" t="s">
        <v>109</v>
      </c>
      <c r="I4" s="43" t="s">
        <v>109</v>
      </c>
      <c r="J4" s="43"/>
      <c r="K4" s="43"/>
      <c r="L4" s="43"/>
      <c r="M4" s="43"/>
      <c r="N4" s="43"/>
      <c r="O4" s="43"/>
      <c r="P4" s="43"/>
      <c r="Q4" s="43">
        <v>0</v>
      </c>
      <c r="R4" s="43" t="s">
        <v>109</v>
      </c>
      <c r="S4" s="43" t="s">
        <v>109</v>
      </c>
      <c r="T4" s="43">
        <v>0</v>
      </c>
      <c r="U4" s="43">
        <v>0</v>
      </c>
      <c r="V4" s="43" t="s">
        <v>109</v>
      </c>
      <c r="W4" s="43" t="s">
        <v>109</v>
      </c>
      <c r="X4" s="43" t="s">
        <v>109</v>
      </c>
      <c r="Y4" s="43" t="s">
        <v>109</v>
      </c>
      <c r="Z4" s="43" t="s">
        <v>109</v>
      </c>
      <c r="AA4" s="43">
        <v>0</v>
      </c>
      <c r="AB4" s="43" t="s">
        <v>109</v>
      </c>
      <c r="AC4" s="43" t="s">
        <v>109</v>
      </c>
      <c r="AD4" s="43" t="s">
        <v>109</v>
      </c>
      <c r="AE4" s="23">
        <f t="shared" ref="AE4:AE33" si="0">AVERAGE(C4:I4)</f>
        <v>0</v>
      </c>
      <c r="AF4" s="23" t="e">
        <f t="shared" ref="AF4:AF41" si="1">AVERAGE(J4:P4)</f>
        <v>#DIV/0!</v>
      </c>
      <c r="AG4" s="23">
        <f t="shared" ref="AG4:AG41" si="2">AVERAGE(Q4:W4)</f>
        <v>0</v>
      </c>
      <c r="AH4" s="10">
        <f>AVERAGE(X4:AD4)</f>
        <v>0</v>
      </c>
      <c r="AI4" s="8">
        <f t="shared" ref="AI4:AI41" si="3">AVERAGE(C4:W4)</f>
        <v>0</v>
      </c>
    </row>
    <row r="5" spans="1:39" ht="15" customHeight="1">
      <c r="A5" s="40">
        <v>2</v>
      </c>
      <c r="B5" s="48" t="str">
        <f>'1.HAFTA'!B5</f>
        <v>Ahmet Arif Ozmen</v>
      </c>
      <c r="C5" s="43" t="s">
        <v>109</v>
      </c>
      <c r="D5" s="43" t="s">
        <v>109</v>
      </c>
      <c r="E5" s="43" t="s">
        <v>109</v>
      </c>
      <c r="F5" s="43" t="s">
        <v>109</v>
      </c>
      <c r="G5" s="43" t="s">
        <v>109</v>
      </c>
      <c r="H5" s="43" t="s">
        <v>109</v>
      </c>
      <c r="I5" s="43" t="s">
        <v>109</v>
      </c>
      <c r="J5" s="43"/>
      <c r="K5" s="43"/>
      <c r="L5" s="43"/>
      <c r="M5" s="43"/>
      <c r="N5" s="43"/>
      <c r="O5" s="43"/>
      <c r="P5" s="43"/>
      <c r="Q5" s="43" t="s">
        <v>109</v>
      </c>
      <c r="R5" s="43" t="s">
        <v>109</v>
      </c>
      <c r="S5" s="43" t="s">
        <v>109</v>
      </c>
      <c r="T5" s="43">
        <v>1</v>
      </c>
      <c r="U5" s="43" t="s">
        <v>109</v>
      </c>
      <c r="V5" s="43" t="s">
        <v>109</v>
      </c>
      <c r="W5" s="43" t="s">
        <v>109</v>
      </c>
      <c r="X5" s="43" t="s">
        <v>109</v>
      </c>
      <c r="Y5" s="43" t="s">
        <v>109</v>
      </c>
      <c r="Z5" s="43" t="s">
        <v>109</v>
      </c>
      <c r="AA5" s="43">
        <v>1</v>
      </c>
      <c r="AB5" s="43" t="s">
        <v>109</v>
      </c>
      <c r="AC5" s="43" t="s">
        <v>109</v>
      </c>
      <c r="AD5" s="43" t="s">
        <v>109</v>
      </c>
      <c r="AE5" s="23" t="e">
        <f t="shared" si="0"/>
        <v>#DIV/0!</v>
      </c>
      <c r="AF5" s="23" t="e">
        <f t="shared" si="1"/>
        <v>#DIV/0!</v>
      </c>
      <c r="AG5" s="23">
        <f t="shared" si="2"/>
        <v>1</v>
      </c>
      <c r="AH5" s="10">
        <f t="shared" ref="AH5:AH41" si="4">AVERAGE(X5:AD5)</f>
        <v>1</v>
      </c>
      <c r="AI5" s="8">
        <f t="shared" si="3"/>
        <v>1</v>
      </c>
    </row>
    <row r="6" spans="1:39" ht="15" customHeight="1" thickBot="1">
      <c r="A6" s="54">
        <v>3</v>
      </c>
      <c r="B6" s="48" t="str">
        <f>'1.HAFTA'!B6</f>
        <v>Alihan Uysal</v>
      </c>
      <c r="C6" s="43" t="s">
        <v>109</v>
      </c>
      <c r="D6" s="43">
        <v>0</v>
      </c>
      <c r="E6" s="43">
        <v>0</v>
      </c>
      <c r="F6" s="43">
        <v>0</v>
      </c>
      <c r="G6" s="43">
        <v>0</v>
      </c>
      <c r="H6" s="43" t="s">
        <v>109</v>
      </c>
      <c r="I6" s="43" t="s">
        <v>109</v>
      </c>
      <c r="J6" s="43"/>
      <c r="K6" s="43"/>
      <c r="L6" s="43"/>
      <c r="M6" s="43"/>
      <c r="N6" s="43"/>
      <c r="O6" s="43"/>
      <c r="P6" s="43"/>
      <c r="Q6" s="43">
        <v>1</v>
      </c>
      <c r="R6" s="43" t="s">
        <v>109</v>
      </c>
      <c r="S6" s="43" t="s">
        <v>109</v>
      </c>
      <c r="T6" s="43">
        <v>1</v>
      </c>
      <c r="U6" s="43" t="s">
        <v>109</v>
      </c>
      <c r="V6" s="43" t="s">
        <v>109</v>
      </c>
      <c r="W6" s="43" t="s">
        <v>109</v>
      </c>
      <c r="X6" s="43" t="s">
        <v>109</v>
      </c>
      <c r="Y6" s="43" t="s">
        <v>109</v>
      </c>
      <c r="Z6" s="43" t="s">
        <v>109</v>
      </c>
      <c r="AA6" s="43">
        <v>1</v>
      </c>
      <c r="AB6" s="43" t="s">
        <v>109</v>
      </c>
      <c r="AC6" s="43" t="s">
        <v>109</v>
      </c>
      <c r="AD6" s="43" t="s">
        <v>109</v>
      </c>
      <c r="AE6" s="23">
        <f t="shared" si="0"/>
        <v>0</v>
      </c>
      <c r="AF6" s="23" t="e">
        <f t="shared" si="1"/>
        <v>#DIV/0!</v>
      </c>
      <c r="AG6" s="23">
        <f t="shared" si="2"/>
        <v>1</v>
      </c>
      <c r="AH6" s="10">
        <f t="shared" si="4"/>
        <v>1</v>
      </c>
      <c r="AI6" s="8">
        <f t="shared" si="3"/>
        <v>0.33333333333333331</v>
      </c>
      <c r="AK6" s="77">
        <v>45726</v>
      </c>
      <c r="AL6" s="77">
        <v>45732</v>
      </c>
      <c r="AM6" s="61"/>
    </row>
    <row r="7" spans="1:39" ht="15" customHeight="1">
      <c r="A7" s="39">
        <v>4</v>
      </c>
      <c r="B7" s="48" t="str">
        <f>'1.HAFTA'!B7</f>
        <v>Ammaar Ahmad</v>
      </c>
      <c r="C7" s="43" t="s">
        <v>109</v>
      </c>
      <c r="D7" s="43">
        <v>1</v>
      </c>
      <c r="E7" s="43">
        <v>1</v>
      </c>
      <c r="F7" s="43">
        <v>1</v>
      </c>
      <c r="G7" s="43">
        <v>1</v>
      </c>
      <c r="H7" s="43" t="s">
        <v>109</v>
      </c>
      <c r="I7" s="43" t="s">
        <v>109</v>
      </c>
      <c r="J7" s="43"/>
      <c r="K7" s="43"/>
      <c r="L7" s="43"/>
      <c r="M7" s="43"/>
      <c r="N7" s="43"/>
      <c r="O7" s="43"/>
      <c r="P7" s="43"/>
      <c r="Q7" s="43">
        <v>1</v>
      </c>
      <c r="R7" s="43" t="s">
        <v>109</v>
      </c>
      <c r="S7" s="43" t="s">
        <v>109</v>
      </c>
      <c r="T7" s="43">
        <v>1</v>
      </c>
      <c r="U7" s="43">
        <v>1</v>
      </c>
      <c r="V7" s="43" t="s">
        <v>109</v>
      </c>
      <c r="W7" s="43" t="s">
        <v>109</v>
      </c>
      <c r="X7" s="43" t="s">
        <v>109</v>
      </c>
      <c r="Y7" s="43" t="s">
        <v>109</v>
      </c>
      <c r="Z7" s="43" t="s">
        <v>109</v>
      </c>
      <c r="AA7" s="43">
        <v>1</v>
      </c>
      <c r="AB7" s="43" t="s">
        <v>109</v>
      </c>
      <c r="AC7" s="43" t="s">
        <v>109</v>
      </c>
      <c r="AD7" s="43" t="s">
        <v>109</v>
      </c>
      <c r="AE7" s="23">
        <f t="shared" si="0"/>
        <v>1</v>
      </c>
      <c r="AF7" s="23" t="e">
        <f t="shared" si="1"/>
        <v>#DIV/0!</v>
      </c>
      <c r="AG7" s="23">
        <f t="shared" si="2"/>
        <v>1</v>
      </c>
      <c r="AH7" s="10">
        <f t="shared" si="4"/>
        <v>1</v>
      </c>
      <c r="AI7" s="8">
        <f t="shared" si="3"/>
        <v>1</v>
      </c>
    </row>
    <row r="8" spans="1:39" ht="15" customHeight="1">
      <c r="A8" s="40">
        <v>5</v>
      </c>
      <c r="B8" s="48" t="str">
        <f>'1.HAFTA'!B8</f>
        <v>Ekrem Altıntaş</v>
      </c>
      <c r="C8" s="43" t="s">
        <v>109</v>
      </c>
      <c r="D8" s="43">
        <v>1</v>
      </c>
      <c r="E8" s="43">
        <v>0</v>
      </c>
      <c r="F8" s="43">
        <v>0</v>
      </c>
      <c r="G8" s="43">
        <v>0</v>
      </c>
      <c r="H8" s="43" t="s">
        <v>109</v>
      </c>
      <c r="I8" s="43" t="s">
        <v>109</v>
      </c>
      <c r="J8" s="43"/>
      <c r="K8" s="43"/>
      <c r="L8" s="43"/>
      <c r="M8" s="43"/>
      <c r="N8" s="43"/>
      <c r="O8" s="43"/>
      <c r="P8" s="43"/>
      <c r="Q8" s="43">
        <v>1</v>
      </c>
      <c r="R8" s="43" t="s">
        <v>109</v>
      </c>
      <c r="S8" s="43" t="s">
        <v>109</v>
      </c>
      <c r="T8" s="43">
        <v>0</v>
      </c>
      <c r="U8" s="43">
        <v>1</v>
      </c>
      <c r="V8" s="43" t="s">
        <v>109</v>
      </c>
      <c r="W8" s="43" t="s">
        <v>109</v>
      </c>
      <c r="X8" s="43" t="s">
        <v>109</v>
      </c>
      <c r="Y8" s="43" t="s">
        <v>109</v>
      </c>
      <c r="Z8" s="43" t="s">
        <v>109</v>
      </c>
      <c r="AA8" s="43">
        <v>0</v>
      </c>
      <c r="AB8" s="43" t="s">
        <v>109</v>
      </c>
      <c r="AC8" s="43" t="s">
        <v>109</v>
      </c>
      <c r="AD8" s="43" t="s">
        <v>109</v>
      </c>
      <c r="AE8" s="23">
        <f t="shared" si="0"/>
        <v>0.25</v>
      </c>
      <c r="AF8" s="23" t="e">
        <f t="shared" si="1"/>
        <v>#DIV/0!</v>
      </c>
      <c r="AG8" s="23">
        <f t="shared" si="2"/>
        <v>0.66666666666666663</v>
      </c>
      <c r="AH8" s="10">
        <f t="shared" si="4"/>
        <v>0</v>
      </c>
      <c r="AI8" s="8">
        <f t="shared" si="3"/>
        <v>0.42857142857142855</v>
      </c>
    </row>
    <row r="9" spans="1:39" ht="15" customHeight="1" thickBot="1">
      <c r="A9" s="54">
        <v>6</v>
      </c>
      <c r="B9" s="48" t="str">
        <f>'1.HAFTA'!B9</f>
        <v>Emirhan Sak</v>
      </c>
      <c r="C9" s="43" t="s">
        <v>109</v>
      </c>
      <c r="D9" s="43">
        <v>0</v>
      </c>
      <c r="E9" s="43">
        <v>1</v>
      </c>
      <c r="F9" s="43">
        <v>1</v>
      </c>
      <c r="G9" s="43">
        <v>1</v>
      </c>
      <c r="H9" s="43" t="s">
        <v>109</v>
      </c>
      <c r="I9" s="43" t="s">
        <v>109</v>
      </c>
      <c r="J9" s="43"/>
      <c r="K9" s="43"/>
      <c r="L9" s="43"/>
      <c r="M9" s="43"/>
      <c r="N9" s="43"/>
      <c r="O9" s="43"/>
      <c r="P9" s="43"/>
      <c r="Q9" s="43">
        <v>1</v>
      </c>
      <c r="R9" s="43" t="s">
        <v>109</v>
      </c>
      <c r="S9" s="43" t="s">
        <v>109</v>
      </c>
      <c r="T9" s="43">
        <v>1</v>
      </c>
      <c r="U9" s="43" t="s">
        <v>109</v>
      </c>
      <c r="V9" s="43" t="s">
        <v>109</v>
      </c>
      <c r="W9" s="43" t="s">
        <v>109</v>
      </c>
      <c r="X9" s="43" t="s">
        <v>109</v>
      </c>
      <c r="Y9" s="43" t="s">
        <v>109</v>
      </c>
      <c r="Z9" s="43" t="s">
        <v>109</v>
      </c>
      <c r="AA9" s="43">
        <v>1</v>
      </c>
      <c r="AB9" s="43" t="s">
        <v>109</v>
      </c>
      <c r="AC9" s="43" t="s">
        <v>109</v>
      </c>
      <c r="AD9" s="43" t="s">
        <v>109</v>
      </c>
      <c r="AE9" s="23">
        <f t="shared" si="0"/>
        <v>0.75</v>
      </c>
      <c r="AF9" s="23" t="e">
        <f t="shared" si="1"/>
        <v>#DIV/0!</v>
      </c>
      <c r="AG9" s="23">
        <f t="shared" si="2"/>
        <v>1</v>
      </c>
      <c r="AH9" s="10">
        <f t="shared" si="4"/>
        <v>1</v>
      </c>
      <c r="AI9" s="8">
        <f t="shared" si="3"/>
        <v>0.83333333333333337</v>
      </c>
    </row>
    <row r="10" spans="1:39" ht="15" customHeight="1">
      <c r="A10" s="39">
        <v>7</v>
      </c>
      <c r="B10" s="48" t="str">
        <f>'1.HAFTA'!B10</f>
        <v>Eymen Göğebakan</v>
      </c>
      <c r="C10" s="43" t="s">
        <v>109</v>
      </c>
      <c r="D10" s="43">
        <v>0</v>
      </c>
      <c r="E10" s="43">
        <v>1</v>
      </c>
      <c r="F10" s="43">
        <v>1</v>
      </c>
      <c r="G10" s="43">
        <v>1</v>
      </c>
      <c r="H10" s="43" t="s">
        <v>109</v>
      </c>
      <c r="I10" s="43" t="s">
        <v>109</v>
      </c>
      <c r="J10" s="43"/>
      <c r="K10" s="43"/>
      <c r="L10" s="43"/>
      <c r="M10" s="43"/>
      <c r="N10" s="43"/>
      <c r="O10" s="43"/>
      <c r="P10" s="43"/>
      <c r="Q10" s="43">
        <v>1</v>
      </c>
      <c r="R10" s="43" t="s">
        <v>109</v>
      </c>
      <c r="S10" s="43" t="s">
        <v>109</v>
      </c>
      <c r="T10" s="43">
        <v>0</v>
      </c>
      <c r="U10" s="43" t="s">
        <v>109</v>
      </c>
      <c r="V10" s="43" t="s">
        <v>109</v>
      </c>
      <c r="W10" s="43" t="s">
        <v>109</v>
      </c>
      <c r="X10" s="43" t="s">
        <v>109</v>
      </c>
      <c r="Y10" s="43" t="s">
        <v>109</v>
      </c>
      <c r="Z10" s="43" t="s">
        <v>109</v>
      </c>
      <c r="AA10" s="43">
        <v>0</v>
      </c>
      <c r="AB10" s="43" t="s">
        <v>109</v>
      </c>
      <c r="AC10" s="43" t="s">
        <v>109</v>
      </c>
      <c r="AD10" s="43" t="s">
        <v>109</v>
      </c>
      <c r="AE10" s="23">
        <f t="shared" si="0"/>
        <v>0.75</v>
      </c>
      <c r="AF10" s="23" t="e">
        <f t="shared" si="1"/>
        <v>#DIV/0!</v>
      </c>
      <c r="AG10" s="23">
        <f t="shared" si="2"/>
        <v>0.5</v>
      </c>
      <c r="AH10" s="10">
        <f t="shared" si="4"/>
        <v>0</v>
      </c>
      <c r="AI10" s="8">
        <f t="shared" si="3"/>
        <v>0.66666666666666663</v>
      </c>
    </row>
    <row r="11" spans="1:39" ht="15" customHeight="1">
      <c r="A11" s="40">
        <v>8</v>
      </c>
      <c r="B11" s="48" t="str">
        <f>'1.HAFTA'!B11</f>
        <v>Mehmet Sak</v>
      </c>
      <c r="C11" s="43" t="s">
        <v>109</v>
      </c>
      <c r="D11" s="43">
        <v>1</v>
      </c>
      <c r="E11" s="43">
        <v>1</v>
      </c>
      <c r="F11" s="43">
        <v>1</v>
      </c>
      <c r="G11" s="43">
        <v>1</v>
      </c>
      <c r="H11" s="43" t="s">
        <v>109</v>
      </c>
      <c r="I11" s="43" t="s">
        <v>109</v>
      </c>
      <c r="J11" s="43"/>
      <c r="K11" s="43"/>
      <c r="L11" s="43"/>
      <c r="M11" s="43"/>
      <c r="N11" s="43"/>
      <c r="O11" s="43"/>
      <c r="P11" s="43"/>
      <c r="Q11" s="43">
        <v>1</v>
      </c>
      <c r="R11" s="43" t="s">
        <v>109</v>
      </c>
      <c r="S11" s="43" t="s">
        <v>109</v>
      </c>
      <c r="T11" s="43">
        <v>1</v>
      </c>
      <c r="U11" s="43" t="s">
        <v>109</v>
      </c>
      <c r="V11" s="43" t="s">
        <v>109</v>
      </c>
      <c r="W11" s="43" t="s">
        <v>109</v>
      </c>
      <c r="X11" s="43" t="s">
        <v>109</v>
      </c>
      <c r="Y11" s="43" t="s">
        <v>109</v>
      </c>
      <c r="Z11" s="43" t="s">
        <v>109</v>
      </c>
      <c r="AA11" s="43">
        <v>1</v>
      </c>
      <c r="AB11" s="43" t="s">
        <v>109</v>
      </c>
      <c r="AC11" s="43" t="s">
        <v>109</v>
      </c>
      <c r="AD11" s="43" t="s">
        <v>109</v>
      </c>
      <c r="AE11" s="23">
        <f t="shared" si="0"/>
        <v>1</v>
      </c>
      <c r="AF11" s="23" t="e">
        <f t="shared" si="1"/>
        <v>#DIV/0!</v>
      </c>
      <c r="AG11" s="23">
        <f t="shared" si="2"/>
        <v>1</v>
      </c>
      <c r="AH11" s="10">
        <f t="shared" si="4"/>
        <v>1</v>
      </c>
      <c r="AI11" s="8">
        <f t="shared" si="3"/>
        <v>1</v>
      </c>
    </row>
    <row r="12" spans="1:39" ht="15" customHeight="1" thickBot="1">
      <c r="A12" s="54">
        <v>9</v>
      </c>
      <c r="B12" s="48" t="str">
        <f>'1.HAFTA'!B12</f>
        <v>Mohammed Abdi Hakim</v>
      </c>
      <c r="C12" s="43" t="s">
        <v>109</v>
      </c>
      <c r="D12" s="43">
        <v>1</v>
      </c>
      <c r="E12" s="43">
        <v>1</v>
      </c>
      <c r="F12" s="43">
        <v>1</v>
      </c>
      <c r="G12" s="43">
        <v>1</v>
      </c>
      <c r="H12" s="43" t="s">
        <v>109</v>
      </c>
      <c r="I12" s="43" t="s">
        <v>109</v>
      </c>
      <c r="J12" s="43"/>
      <c r="K12" s="43"/>
      <c r="L12" s="43"/>
      <c r="M12" s="43"/>
      <c r="N12" s="43"/>
      <c r="O12" s="43"/>
      <c r="P12" s="43"/>
      <c r="Q12" s="43">
        <v>1</v>
      </c>
      <c r="R12" s="43" t="s">
        <v>109</v>
      </c>
      <c r="S12" s="43" t="s">
        <v>109</v>
      </c>
      <c r="T12" s="43">
        <v>1</v>
      </c>
      <c r="U12" s="43">
        <v>1</v>
      </c>
      <c r="V12" s="43" t="s">
        <v>109</v>
      </c>
      <c r="W12" s="43" t="s">
        <v>109</v>
      </c>
      <c r="X12" s="43" t="s">
        <v>109</v>
      </c>
      <c r="Y12" s="43" t="s">
        <v>109</v>
      </c>
      <c r="Z12" s="43" t="s">
        <v>109</v>
      </c>
      <c r="AA12" s="43">
        <v>1</v>
      </c>
      <c r="AB12" s="43" t="s">
        <v>109</v>
      </c>
      <c r="AC12" s="43" t="s">
        <v>109</v>
      </c>
      <c r="AD12" s="43" t="s">
        <v>109</v>
      </c>
      <c r="AE12" s="23">
        <f t="shared" si="0"/>
        <v>1</v>
      </c>
      <c r="AF12" s="23" t="e">
        <f t="shared" si="1"/>
        <v>#DIV/0!</v>
      </c>
      <c r="AG12" s="23">
        <f t="shared" si="2"/>
        <v>1</v>
      </c>
      <c r="AH12" s="10">
        <f t="shared" si="4"/>
        <v>1</v>
      </c>
      <c r="AI12" s="8">
        <f t="shared" si="3"/>
        <v>1</v>
      </c>
    </row>
    <row r="13" spans="1:39" ht="15" customHeight="1">
      <c r="A13" s="39">
        <v>10</v>
      </c>
      <c r="B13" s="48" t="str">
        <f>'1.HAFTA'!B13</f>
        <v>Rıdvan Sönmez</v>
      </c>
      <c r="C13" s="43" t="s">
        <v>109</v>
      </c>
      <c r="D13" s="43">
        <v>1</v>
      </c>
      <c r="E13" s="43">
        <v>1</v>
      </c>
      <c r="F13" s="43">
        <v>1</v>
      </c>
      <c r="G13" s="43">
        <v>1</v>
      </c>
      <c r="H13" s="43" t="s">
        <v>109</v>
      </c>
      <c r="I13" s="43" t="s">
        <v>109</v>
      </c>
      <c r="J13" s="43"/>
      <c r="K13" s="43"/>
      <c r="L13" s="43"/>
      <c r="M13" s="43"/>
      <c r="N13" s="43"/>
      <c r="O13" s="43"/>
      <c r="P13" s="43"/>
      <c r="Q13" s="43">
        <v>1</v>
      </c>
      <c r="R13" s="43" t="s">
        <v>109</v>
      </c>
      <c r="S13" s="43" t="s">
        <v>109</v>
      </c>
      <c r="T13" s="43">
        <v>1</v>
      </c>
      <c r="U13" s="43" t="s">
        <v>109</v>
      </c>
      <c r="V13" s="43" t="s">
        <v>109</v>
      </c>
      <c r="W13" s="43" t="s">
        <v>109</v>
      </c>
      <c r="X13" s="43" t="s">
        <v>109</v>
      </c>
      <c r="Y13" s="43" t="s">
        <v>109</v>
      </c>
      <c r="Z13" s="43" t="s">
        <v>109</v>
      </c>
      <c r="AA13" s="43">
        <v>1</v>
      </c>
      <c r="AB13" s="43" t="s">
        <v>109</v>
      </c>
      <c r="AC13" s="43" t="s">
        <v>109</v>
      </c>
      <c r="AD13" s="43" t="s">
        <v>109</v>
      </c>
      <c r="AE13" s="23">
        <f t="shared" si="0"/>
        <v>1</v>
      </c>
      <c r="AF13" s="23" t="e">
        <f t="shared" si="1"/>
        <v>#DIV/0!</v>
      </c>
      <c r="AG13" s="23">
        <f t="shared" si="2"/>
        <v>1</v>
      </c>
      <c r="AH13" s="10">
        <f t="shared" si="4"/>
        <v>1</v>
      </c>
      <c r="AI13" s="8">
        <f t="shared" si="3"/>
        <v>1</v>
      </c>
    </row>
    <row r="14" spans="1:39" ht="15" customHeight="1">
      <c r="A14" s="40">
        <v>11</v>
      </c>
      <c r="B14" s="48" t="str">
        <f>'1.HAFTA'!B14</f>
        <v>Tayyip Sönmez</v>
      </c>
      <c r="C14" s="43" t="s">
        <v>109</v>
      </c>
      <c r="D14" s="43" t="s">
        <v>109</v>
      </c>
      <c r="E14" s="43" t="s">
        <v>109</v>
      </c>
      <c r="F14" s="43" t="s">
        <v>109</v>
      </c>
      <c r="G14" s="43" t="s">
        <v>109</v>
      </c>
      <c r="H14" s="43" t="s">
        <v>109</v>
      </c>
      <c r="I14" s="43" t="s">
        <v>109</v>
      </c>
      <c r="J14" s="43"/>
      <c r="K14" s="43"/>
      <c r="L14" s="43"/>
      <c r="M14" s="43"/>
      <c r="N14" s="43"/>
      <c r="O14" s="43"/>
      <c r="P14" s="43"/>
      <c r="Q14" s="43">
        <v>1</v>
      </c>
      <c r="R14" s="43" t="s">
        <v>109</v>
      </c>
      <c r="S14" s="43" t="s">
        <v>109</v>
      </c>
      <c r="T14" s="43" t="s">
        <v>109</v>
      </c>
      <c r="U14" s="43" t="s">
        <v>109</v>
      </c>
      <c r="V14" s="43" t="s">
        <v>109</v>
      </c>
      <c r="W14" s="43" t="s">
        <v>109</v>
      </c>
      <c r="X14" s="43" t="s">
        <v>109</v>
      </c>
      <c r="Y14" s="43" t="s">
        <v>109</v>
      </c>
      <c r="Z14" s="43" t="s">
        <v>109</v>
      </c>
      <c r="AA14" s="43" t="s">
        <v>109</v>
      </c>
      <c r="AB14" s="43" t="s">
        <v>109</v>
      </c>
      <c r="AC14" s="43" t="s">
        <v>109</v>
      </c>
      <c r="AD14" s="43" t="s">
        <v>109</v>
      </c>
      <c r="AE14" s="23" t="e">
        <f t="shared" si="0"/>
        <v>#DIV/0!</v>
      </c>
      <c r="AF14" s="23" t="e">
        <f t="shared" si="1"/>
        <v>#DIV/0!</v>
      </c>
      <c r="AG14" s="23">
        <f t="shared" si="2"/>
        <v>1</v>
      </c>
      <c r="AH14" s="10" t="e">
        <f t="shared" si="4"/>
        <v>#DIV/0!</v>
      </c>
      <c r="AI14" s="8">
        <f t="shared" si="3"/>
        <v>1</v>
      </c>
    </row>
    <row r="15" spans="1:39" ht="15" customHeight="1" thickBot="1">
      <c r="A15" s="54">
        <v>12</v>
      </c>
      <c r="B15" s="48" t="str">
        <f>'1.HAFTA'!B15</f>
        <v>Waffi Talib</v>
      </c>
      <c r="C15" s="43" t="s">
        <v>109</v>
      </c>
      <c r="D15" s="43" t="s">
        <v>109</v>
      </c>
      <c r="E15" s="43" t="s">
        <v>109</v>
      </c>
      <c r="F15" s="43">
        <v>1</v>
      </c>
      <c r="G15" s="43">
        <v>1</v>
      </c>
      <c r="H15" s="43" t="s">
        <v>109</v>
      </c>
      <c r="I15" s="43" t="s">
        <v>109</v>
      </c>
      <c r="J15" s="43"/>
      <c r="K15" s="43"/>
      <c r="L15" s="43"/>
      <c r="M15" s="43"/>
      <c r="N15" s="43"/>
      <c r="O15" s="43"/>
      <c r="P15" s="43"/>
      <c r="Q15" s="43" t="s">
        <v>109</v>
      </c>
      <c r="R15" s="43" t="s">
        <v>109</v>
      </c>
      <c r="S15" s="43" t="s">
        <v>109</v>
      </c>
      <c r="T15" s="43">
        <v>1</v>
      </c>
      <c r="U15" s="43">
        <v>0</v>
      </c>
      <c r="V15" s="43" t="s">
        <v>109</v>
      </c>
      <c r="W15" s="43" t="s">
        <v>109</v>
      </c>
      <c r="X15" s="43" t="s">
        <v>109</v>
      </c>
      <c r="Y15" s="43" t="s">
        <v>109</v>
      </c>
      <c r="Z15" s="43" t="s">
        <v>109</v>
      </c>
      <c r="AA15" s="43">
        <v>1</v>
      </c>
      <c r="AB15" s="43" t="s">
        <v>109</v>
      </c>
      <c r="AC15" s="43" t="s">
        <v>109</v>
      </c>
      <c r="AD15" s="43" t="s">
        <v>109</v>
      </c>
      <c r="AE15" s="23">
        <f t="shared" si="0"/>
        <v>1</v>
      </c>
      <c r="AF15" s="23" t="e">
        <f t="shared" si="1"/>
        <v>#DIV/0!</v>
      </c>
      <c r="AG15" s="23">
        <f t="shared" si="2"/>
        <v>0.5</v>
      </c>
      <c r="AH15" s="10">
        <f t="shared" si="4"/>
        <v>1</v>
      </c>
      <c r="AI15" s="8">
        <f t="shared" si="3"/>
        <v>0.75</v>
      </c>
    </row>
    <row r="16" spans="1:39" ht="15" customHeight="1">
      <c r="A16" s="39">
        <v>13</v>
      </c>
      <c r="B16" s="90" t="str">
        <f>'1.HAFTA'!B16</f>
        <v>Ahmet Enes Küçüktepe</v>
      </c>
      <c r="C16" s="43" t="s">
        <v>109</v>
      </c>
      <c r="D16" s="43">
        <v>0</v>
      </c>
      <c r="E16" s="43">
        <v>0</v>
      </c>
      <c r="F16" s="43">
        <v>0</v>
      </c>
      <c r="G16" s="43">
        <v>1</v>
      </c>
      <c r="H16" s="43" t="s">
        <v>109</v>
      </c>
      <c r="I16" s="43" t="s">
        <v>109</v>
      </c>
      <c r="J16" s="43"/>
      <c r="K16" s="43"/>
      <c r="L16" s="43"/>
      <c r="M16" s="43"/>
      <c r="N16" s="43"/>
      <c r="O16" s="43"/>
      <c r="P16" s="43"/>
      <c r="Q16" s="43">
        <v>1</v>
      </c>
      <c r="R16" s="43" t="s">
        <v>109</v>
      </c>
      <c r="S16" s="43" t="s">
        <v>109</v>
      </c>
      <c r="T16" s="43" t="s">
        <v>108</v>
      </c>
      <c r="U16" s="43" t="s">
        <v>109</v>
      </c>
      <c r="V16" s="43" t="s">
        <v>109</v>
      </c>
      <c r="W16" s="43" t="s">
        <v>109</v>
      </c>
      <c r="X16" s="43" t="s">
        <v>109</v>
      </c>
      <c r="Y16" s="43" t="s">
        <v>109</v>
      </c>
      <c r="Z16" s="43" t="s">
        <v>109</v>
      </c>
      <c r="AA16" s="43" t="s">
        <v>108</v>
      </c>
      <c r="AB16" s="43" t="s">
        <v>109</v>
      </c>
      <c r="AC16" s="43" t="s">
        <v>109</v>
      </c>
      <c r="AD16" s="43" t="s">
        <v>109</v>
      </c>
      <c r="AE16" s="23">
        <f t="shared" si="0"/>
        <v>0.25</v>
      </c>
      <c r="AF16" s="23" t="e">
        <f t="shared" si="1"/>
        <v>#DIV/0!</v>
      </c>
      <c r="AG16" s="23">
        <f t="shared" si="2"/>
        <v>1</v>
      </c>
      <c r="AH16" s="10" t="e">
        <f t="shared" si="4"/>
        <v>#DIV/0!</v>
      </c>
      <c r="AI16" s="8">
        <f t="shared" si="3"/>
        <v>0.4</v>
      </c>
    </row>
    <row r="17" spans="1:35" ht="15" customHeight="1">
      <c r="A17" s="40">
        <v>14</v>
      </c>
      <c r="B17" s="48" t="str">
        <f>'1.HAFTA'!B17</f>
        <v>Abdulkerim Karazehir</v>
      </c>
      <c r="C17" s="43" t="s">
        <v>109</v>
      </c>
      <c r="D17" s="43" t="s">
        <v>109</v>
      </c>
      <c r="E17" s="43" t="s">
        <v>109</v>
      </c>
      <c r="F17" s="43">
        <v>0</v>
      </c>
      <c r="G17" s="43">
        <v>1</v>
      </c>
      <c r="H17" s="43" t="s">
        <v>109</v>
      </c>
      <c r="I17" s="43" t="s">
        <v>109</v>
      </c>
      <c r="J17" s="43"/>
      <c r="K17" s="43"/>
      <c r="L17" s="43"/>
      <c r="M17" s="43"/>
      <c r="N17" s="43"/>
      <c r="O17" s="43"/>
      <c r="P17" s="43"/>
      <c r="Q17" s="43" t="s">
        <v>109</v>
      </c>
      <c r="R17" s="43" t="s">
        <v>109</v>
      </c>
      <c r="S17" s="43" t="s">
        <v>109</v>
      </c>
      <c r="T17" s="43">
        <v>0</v>
      </c>
      <c r="U17" s="43">
        <v>0</v>
      </c>
      <c r="V17" s="43" t="s">
        <v>109</v>
      </c>
      <c r="W17" s="43" t="s">
        <v>109</v>
      </c>
      <c r="X17" s="43" t="s">
        <v>109</v>
      </c>
      <c r="Y17" s="43" t="s">
        <v>109</v>
      </c>
      <c r="Z17" s="43" t="s">
        <v>109</v>
      </c>
      <c r="AA17" s="43">
        <v>0</v>
      </c>
      <c r="AB17" s="43" t="s">
        <v>109</v>
      </c>
      <c r="AC17" s="43" t="s">
        <v>109</v>
      </c>
      <c r="AD17" s="43" t="s">
        <v>109</v>
      </c>
      <c r="AE17" s="23">
        <f t="shared" si="0"/>
        <v>0.5</v>
      </c>
      <c r="AF17" s="23" t="e">
        <f t="shared" si="1"/>
        <v>#DIV/0!</v>
      </c>
      <c r="AG17" s="23">
        <f t="shared" si="2"/>
        <v>0</v>
      </c>
      <c r="AH17" s="10">
        <f t="shared" si="4"/>
        <v>0</v>
      </c>
      <c r="AI17" s="8">
        <f t="shared" si="3"/>
        <v>0.25</v>
      </c>
    </row>
    <row r="18" spans="1:35" ht="15" customHeight="1" thickBot="1">
      <c r="A18" s="54">
        <v>15</v>
      </c>
      <c r="B18" s="48" t="str">
        <f>'1.HAFTA'!B18</f>
        <v>Berat Basan</v>
      </c>
      <c r="C18" s="43" t="s">
        <v>109</v>
      </c>
      <c r="D18" s="43">
        <v>0</v>
      </c>
      <c r="E18" s="43">
        <v>0</v>
      </c>
      <c r="F18" s="43">
        <v>0</v>
      </c>
      <c r="G18" s="43">
        <v>1</v>
      </c>
      <c r="H18" s="43" t="s">
        <v>109</v>
      </c>
      <c r="I18" s="43" t="s">
        <v>109</v>
      </c>
      <c r="J18" s="43"/>
      <c r="K18" s="43"/>
      <c r="L18" s="43"/>
      <c r="M18" s="43"/>
      <c r="N18" s="43"/>
      <c r="O18" s="43"/>
      <c r="P18" s="43"/>
      <c r="Q18" s="43" t="s">
        <v>109</v>
      </c>
      <c r="R18" s="43" t="s">
        <v>109</v>
      </c>
      <c r="S18" s="43" t="s">
        <v>109</v>
      </c>
      <c r="T18" s="43">
        <v>0</v>
      </c>
      <c r="U18" s="43">
        <v>0</v>
      </c>
      <c r="V18" s="43" t="s">
        <v>109</v>
      </c>
      <c r="W18" s="43" t="s">
        <v>109</v>
      </c>
      <c r="X18" s="43" t="s">
        <v>109</v>
      </c>
      <c r="Y18" s="43" t="s">
        <v>109</v>
      </c>
      <c r="Z18" s="43" t="s">
        <v>109</v>
      </c>
      <c r="AA18" s="43">
        <v>0</v>
      </c>
      <c r="AB18" s="43" t="s">
        <v>109</v>
      </c>
      <c r="AC18" s="43" t="s">
        <v>109</v>
      </c>
      <c r="AD18" s="43" t="s">
        <v>109</v>
      </c>
      <c r="AE18" s="23">
        <f t="shared" si="0"/>
        <v>0.25</v>
      </c>
      <c r="AF18" s="23" t="e">
        <f t="shared" si="1"/>
        <v>#DIV/0!</v>
      </c>
      <c r="AG18" s="23">
        <f t="shared" si="2"/>
        <v>0</v>
      </c>
      <c r="AH18" s="10">
        <f t="shared" si="4"/>
        <v>0</v>
      </c>
      <c r="AI18" s="8">
        <f t="shared" si="3"/>
        <v>0.16666666666666666</v>
      </c>
    </row>
    <row r="19" spans="1:35" ht="15" customHeight="1">
      <c r="A19" s="39">
        <v>16</v>
      </c>
      <c r="B19" s="48" t="str">
        <f>'1.HAFTA'!B19</f>
        <v>Burhan Çevik</v>
      </c>
      <c r="C19" s="43" t="s">
        <v>109</v>
      </c>
      <c r="D19" s="43">
        <v>0</v>
      </c>
      <c r="E19" s="43">
        <v>0</v>
      </c>
      <c r="F19" s="43">
        <v>0</v>
      </c>
      <c r="G19" s="43">
        <v>1</v>
      </c>
      <c r="H19" s="43" t="s">
        <v>109</v>
      </c>
      <c r="I19" s="43" t="s">
        <v>109</v>
      </c>
      <c r="J19" s="43"/>
      <c r="K19" s="43"/>
      <c r="L19" s="43"/>
      <c r="M19" s="43"/>
      <c r="N19" s="43"/>
      <c r="O19" s="43"/>
      <c r="P19" s="43"/>
      <c r="Q19" s="43">
        <v>0</v>
      </c>
      <c r="R19" s="43" t="s">
        <v>109</v>
      </c>
      <c r="S19" s="43" t="s">
        <v>109</v>
      </c>
      <c r="T19" s="43">
        <v>0</v>
      </c>
      <c r="U19" s="43">
        <v>0</v>
      </c>
      <c r="V19" s="43" t="s">
        <v>109</v>
      </c>
      <c r="W19" s="43" t="s">
        <v>109</v>
      </c>
      <c r="X19" s="43" t="s">
        <v>109</v>
      </c>
      <c r="Y19" s="43" t="s">
        <v>109</v>
      </c>
      <c r="Z19" s="43" t="s">
        <v>109</v>
      </c>
      <c r="AA19" s="43">
        <v>0</v>
      </c>
      <c r="AB19" s="43" t="s">
        <v>109</v>
      </c>
      <c r="AC19" s="43" t="s">
        <v>109</v>
      </c>
      <c r="AD19" s="43" t="s">
        <v>109</v>
      </c>
      <c r="AE19" s="23">
        <f t="shared" si="0"/>
        <v>0.25</v>
      </c>
      <c r="AF19" s="23" t="e">
        <f t="shared" si="1"/>
        <v>#DIV/0!</v>
      </c>
      <c r="AG19" s="23">
        <f t="shared" si="2"/>
        <v>0</v>
      </c>
      <c r="AH19" s="10">
        <f t="shared" si="4"/>
        <v>0</v>
      </c>
      <c r="AI19" s="8">
        <f t="shared" si="3"/>
        <v>0.14285714285714285</v>
      </c>
    </row>
    <row r="20" spans="1:35" ht="15" customHeight="1">
      <c r="A20" s="40">
        <v>17</v>
      </c>
      <c r="B20" s="48" t="str">
        <f>'1.HAFTA'!B20</f>
        <v>Enes Bakar</v>
      </c>
      <c r="C20" s="43" t="s">
        <v>109</v>
      </c>
      <c r="D20" s="43">
        <v>0</v>
      </c>
      <c r="E20" s="43">
        <v>0</v>
      </c>
      <c r="F20" s="43">
        <v>0</v>
      </c>
      <c r="G20" s="43">
        <v>0</v>
      </c>
      <c r="H20" s="43" t="s">
        <v>109</v>
      </c>
      <c r="I20" s="43" t="s">
        <v>109</v>
      </c>
      <c r="J20" s="43"/>
      <c r="K20" s="43"/>
      <c r="L20" s="43"/>
      <c r="M20" s="43"/>
      <c r="N20" s="43"/>
      <c r="O20" s="43"/>
      <c r="P20" s="43"/>
      <c r="Q20" s="43">
        <v>0</v>
      </c>
      <c r="R20" s="43" t="s">
        <v>109</v>
      </c>
      <c r="S20" s="43" t="s">
        <v>109</v>
      </c>
      <c r="T20" s="43">
        <v>0</v>
      </c>
      <c r="U20" s="43">
        <v>0</v>
      </c>
      <c r="V20" s="43" t="s">
        <v>109</v>
      </c>
      <c r="W20" s="43" t="s">
        <v>109</v>
      </c>
      <c r="X20" s="43" t="s">
        <v>109</v>
      </c>
      <c r="Y20" s="43" t="s">
        <v>109</v>
      </c>
      <c r="Z20" s="43" t="s">
        <v>109</v>
      </c>
      <c r="AA20" s="43">
        <v>0</v>
      </c>
      <c r="AB20" s="43" t="s">
        <v>109</v>
      </c>
      <c r="AC20" s="43" t="s">
        <v>109</v>
      </c>
      <c r="AD20" s="43" t="s">
        <v>109</v>
      </c>
      <c r="AE20" s="23">
        <f t="shared" si="0"/>
        <v>0</v>
      </c>
      <c r="AF20" s="23" t="e">
        <f t="shared" si="1"/>
        <v>#DIV/0!</v>
      </c>
      <c r="AG20" s="23">
        <f t="shared" si="2"/>
        <v>0</v>
      </c>
      <c r="AH20" s="10">
        <f t="shared" si="4"/>
        <v>0</v>
      </c>
      <c r="AI20" s="8">
        <f t="shared" si="3"/>
        <v>0</v>
      </c>
    </row>
    <row r="21" spans="1:35" ht="15" customHeight="1" thickBot="1">
      <c r="A21" s="54">
        <v>18</v>
      </c>
      <c r="B21" s="48" t="str">
        <f>'1.HAFTA'!B21</f>
        <v>Hüseyin Özdemir</v>
      </c>
      <c r="C21" s="43" t="s">
        <v>109</v>
      </c>
      <c r="D21" s="43">
        <v>0</v>
      </c>
      <c r="E21" s="43">
        <v>1</v>
      </c>
      <c r="F21" s="43">
        <v>0</v>
      </c>
      <c r="G21" s="43">
        <v>1</v>
      </c>
      <c r="H21" s="43" t="s">
        <v>109</v>
      </c>
      <c r="I21" s="43" t="s">
        <v>109</v>
      </c>
      <c r="J21" s="43"/>
      <c r="K21" s="43"/>
      <c r="L21" s="43"/>
      <c r="M21" s="43"/>
      <c r="N21" s="43"/>
      <c r="O21" s="43"/>
      <c r="P21" s="43"/>
      <c r="Q21" s="43">
        <v>1</v>
      </c>
      <c r="R21" s="43" t="s">
        <v>109</v>
      </c>
      <c r="S21" s="43" t="s">
        <v>109</v>
      </c>
      <c r="T21" s="43">
        <v>0</v>
      </c>
      <c r="U21" s="43">
        <v>0</v>
      </c>
      <c r="V21" s="43" t="s">
        <v>109</v>
      </c>
      <c r="W21" s="43" t="s">
        <v>109</v>
      </c>
      <c r="X21" s="43" t="s">
        <v>109</v>
      </c>
      <c r="Y21" s="43" t="s">
        <v>109</v>
      </c>
      <c r="Z21" s="43" t="s">
        <v>109</v>
      </c>
      <c r="AA21" s="43">
        <v>0</v>
      </c>
      <c r="AB21" s="43" t="s">
        <v>109</v>
      </c>
      <c r="AC21" s="43" t="s">
        <v>109</v>
      </c>
      <c r="AD21" s="43" t="s">
        <v>109</v>
      </c>
      <c r="AE21" s="23">
        <f t="shared" si="0"/>
        <v>0.5</v>
      </c>
      <c r="AF21" s="23" t="e">
        <f t="shared" si="1"/>
        <v>#DIV/0!</v>
      </c>
      <c r="AG21" s="23">
        <f t="shared" si="2"/>
        <v>0.33333333333333331</v>
      </c>
      <c r="AH21" s="10">
        <f t="shared" si="4"/>
        <v>0</v>
      </c>
      <c r="AI21" s="8">
        <f t="shared" si="3"/>
        <v>0.42857142857142855</v>
      </c>
    </row>
    <row r="22" spans="1:35" ht="15" customHeight="1">
      <c r="A22" s="39">
        <v>19</v>
      </c>
      <c r="B22" s="48" t="str">
        <f>'1.HAFTA'!B22</f>
        <v>Yahya Yıldız</v>
      </c>
      <c r="C22" s="43" t="s">
        <v>109</v>
      </c>
      <c r="D22" s="43">
        <v>0</v>
      </c>
      <c r="E22" s="43">
        <v>1</v>
      </c>
      <c r="F22" s="43">
        <v>0</v>
      </c>
      <c r="G22" s="43">
        <v>1</v>
      </c>
      <c r="H22" s="43" t="s">
        <v>109</v>
      </c>
      <c r="I22" s="43" t="s">
        <v>109</v>
      </c>
      <c r="J22" s="43"/>
      <c r="K22" s="43"/>
      <c r="L22" s="43"/>
      <c r="M22" s="43"/>
      <c r="N22" s="43"/>
      <c r="O22" s="43"/>
      <c r="P22" s="43"/>
      <c r="Q22" s="43">
        <v>0</v>
      </c>
      <c r="R22" s="43" t="s">
        <v>109</v>
      </c>
      <c r="S22" s="43" t="s">
        <v>109</v>
      </c>
      <c r="T22" s="43" t="s">
        <v>109</v>
      </c>
      <c r="U22" s="43">
        <v>0</v>
      </c>
      <c r="V22" s="43" t="s">
        <v>109</v>
      </c>
      <c r="W22" s="43" t="s">
        <v>109</v>
      </c>
      <c r="X22" s="43" t="s">
        <v>109</v>
      </c>
      <c r="Y22" s="43" t="s">
        <v>109</v>
      </c>
      <c r="Z22" s="43" t="s">
        <v>109</v>
      </c>
      <c r="AA22" s="43" t="s">
        <v>109</v>
      </c>
      <c r="AB22" s="43" t="s">
        <v>109</v>
      </c>
      <c r="AC22" s="43" t="s">
        <v>109</v>
      </c>
      <c r="AD22" s="43" t="s">
        <v>109</v>
      </c>
      <c r="AE22" s="23">
        <f t="shared" si="0"/>
        <v>0.5</v>
      </c>
      <c r="AF22" s="23" t="e">
        <f t="shared" si="1"/>
        <v>#DIV/0!</v>
      </c>
      <c r="AG22" s="23">
        <f t="shared" si="2"/>
        <v>0</v>
      </c>
      <c r="AH22" s="10" t="e">
        <f t="shared" si="4"/>
        <v>#DIV/0!</v>
      </c>
      <c r="AI22" s="8">
        <f t="shared" si="3"/>
        <v>0.33333333333333331</v>
      </c>
    </row>
    <row r="23" spans="1:35" ht="15" customHeight="1">
      <c r="A23" s="40">
        <v>20</v>
      </c>
      <c r="B23" s="48" t="str">
        <f>'1.HAFTA'!B23</f>
        <v>Yakup Karazehir</v>
      </c>
      <c r="C23" s="43" t="s">
        <v>109</v>
      </c>
      <c r="D23" s="43">
        <v>1</v>
      </c>
      <c r="E23" s="43">
        <v>1</v>
      </c>
      <c r="F23" s="43">
        <v>1</v>
      </c>
      <c r="G23" s="43">
        <v>1</v>
      </c>
      <c r="H23" s="43" t="s">
        <v>109</v>
      </c>
      <c r="I23" s="43" t="s">
        <v>109</v>
      </c>
      <c r="J23" s="43"/>
      <c r="K23" s="43"/>
      <c r="L23" s="43"/>
      <c r="M23" s="43"/>
      <c r="N23" s="43"/>
      <c r="O23" s="43"/>
      <c r="P23" s="43"/>
      <c r="Q23" s="43">
        <v>1</v>
      </c>
      <c r="R23" s="43" t="s">
        <v>109</v>
      </c>
      <c r="S23" s="43" t="s">
        <v>109</v>
      </c>
      <c r="T23" s="43">
        <v>1</v>
      </c>
      <c r="U23" s="43">
        <v>1</v>
      </c>
      <c r="V23" s="43" t="s">
        <v>109</v>
      </c>
      <c r="W23" s="43" t="s">
        <v>109</v>
      </c>
      <c r="X23" s="43" t="s">
        <v>109</v>
      </c>
      <c r="Y23" s="43" t="s">
        <v>109</v>
      </c>
      <c r="Z23" s="43" t="s">
        <v>109</v>
      </c>
      <c r="AA23" s="43">
        <v>1</v>
      </c>
      <c r="AB23" s="43" t="s">
        <v>109</v>
      </c>
      <c r="AC23" s="43" t="s">
        <v>109</v>
      </c>
      <c r="AD23" s="43" t="s">
        <v>109</v>
      </c>
      <c r="AE23" s="23">
        <f t="shared" si="0"/>
        <v>1</v>
      </c>
      <c r="AF23" s="23" t="e">
        <f t="shared" si="1"/>
        <v>#DIV/0!</v>
      </c>
      <c r="AG23" s="23">
        <f t="shared" si="2"/>
        <v>1</v>
      </c>
      <c r="AH23" s="10">
        <f t="shared" si="4"/>
        <v>1</v>
      </c>
      <c r="AI23" s="8">
        <f t="shared" si="3"/>
        <v>1</v>
      </c>
    </row>
    <row r="24" spans="1:35" ht="15" customHeight="1" thickBot="1">
      <c r="A24" s="54">
        <v>21</v>
      </c>
      <c r="B24" s="48" t="str">
        <f>'1.HAFTA'!B24</f>
        <v>Abdussamed Arslan</v>
      </c>
      <c r="C24" s="43" t="s">
        <v>109</v>
      </c>
      <c r="D24" s="43">
        <v>1</v>
      </c>
      <c r="E24" s="43">
        <v>0</v>
      </c>
      <c r="F24" s="43">
        <v>1</v>
      </c>
      <c r="G24" s="43">
        <v>0</v>
      </c>
      <c r="H24" s="43" t="s">
        <v>109</v>
      </c>
      <c r="I24" s="43" t="s">
        <v>109</v>
      </c>
      <c r="J24" s="43"/>
      <c r="K24" s="43"/>
      <c r="L24" s="43"/>
      <c r="M24" s="43"/>
      <c r="N24" s="43"/>
      <c r="O24" s="43"/>
      <c r="P24" s="43"/>
      <c r="Q24" s="43">
        <v>0</v>
      </c>
      <c r="R24" s="43" t="s">
        <v>109</v>
      </c>
      <c r="S24" s="43" t="s">
        <v>109</v>
      </c>
      <c r="T24" s="43">
        <v>0</v>
      </c>
      <c r="U24" s="43">
        <v>0</v>
      </c>
      <c r="V24" s="43" t="s">
        <v>109</v>
      </c>
      <c r="W24" s="43" t="s">
        <v>109</v>
      </c>
      <c r="X24" s="43" t="s">
        <v>109</v>
      </c>
      <c r="Y24" s="43" t="s">
        <v>109</v>
      </c>
      <c r="Z24" s="43" t="s">
        <v>109</v>
      </c>
      <c r="AA24" s="43">
        <v>0</v>
      </c>
      <c r="AB24" s="43" t="s">
        <v>109</v>
      </c>
      <c r="AC24" s="43" t="s">
        <v>109</v>
      </c>
      <c r="AD24" s="43" t="s">
        <v>109</v>
      </c>
      <c r="AE24" s="23">
        <f t="shared" si="0"/>
        <v>0.5</v>
      </c>
      <c r="AF24" s="23" t="e">
        <f t="shared" si="1"/>
        <v>#DIV/0!</v>
      </c>
      <c r="AG24" s="23">
        <f t="shared" si="2"/>
        <v>0</v>
      </c>
      <c r="AH24" s="10">
        <f t="shared" si="4"/>
        <v>0</v>
      </c>
      <c r="AI24" s="8">
        <f t="shared" si="3"/>
        <v>0.2857142857142857</v>
      </c>
    </row>
    <row r="25" spans="1:35" ht="15" customHeight="1">
      <c r="A25" s="39">
        <v>22</v>
      </c>
      <c r="B25" s="48" t="str">
        <f>'1.HAFTA'!B25</f>
        <v>Abdussamed Erdem</v>
      </c>
      <c r="C25" s="43" t="s">
        <v>109</v>
      </c>
      <c r="D25" s="43">
        <v>1</v>
      </c>
      <c r="E25" s="43">
        <v>1</v>
      </c>
      <c r="F25" s="43">
        <v>1</v>
      </c>
      <c r="G25" s="43">
        <v>1</v>
      </c>
      <c r="H25" s="43" t="s">
        <v>109</v>
      </c>
      <c r="I25" s="43" t="s">
        <v>109</v>
      </c>
      <c r="J25" s="43"/>
      <c r="K25" s="43"/>
      <c r="L25" s="43"/>
      <c r="M25" s="43"/>
      <c r="N25" s="43"/>
      <c r="O25" s="43"/>
      <c r="P25" s="43"/>
      <c r="Q25" s="43">
        <v>1</v>
      </c>
      <c r="R25" s="43" t="s">
        <v>109</v>
      </c>
      <c r="S25" s="43" t="s">
        <v>109</v>
      </c>
      <c r="T25" s="43">
        <v>1</v>
      </c>
      <c r="U25" s="43" t="s">
        <v>109</v>
      </c>
      <c r="V25" s="43" t="s">
        <v>109</v>
      </c>
      <c r="W25" s="43" t="s">
        <v>109</v>
      </c>
      <c r="X25" s="43" t="s">
        <v>109</v>
      </c>
      <c r="Y25" s="43" t="s">
        <v>109</v>
      </c>
      <c r="Z25" s="43" t="s">
        <v>109</v>
      </c>
      <c r="AA25" s="43">
        <v>1</v>
      </c>
      <c r="AB25" s="43" t="s">
        <v>109</v>
      </c>
      <c r="AC25" s="43" t="s">
        <v>109</v>
      </c>
      <c r="AD25" s="43" t="s">
        <v>109</v>
      </c>
      <c r="AE25" s="23">
        <f t="shared" si="0"/>
        <v>1</v>
      </c>
      <c r="AF25" s="23" t="e">
        <f t="shared" si="1"/>
        <v>#DIV/0!</v>
      </c>
      <c r="AG25" s="23">
        <f t="shared" si="2"/>
        <v>1</v>
      </c>
      <c r="AH25" s="10">
        <f t="shared" si="4"/>
        <v>1</v>
      </c>
      <c r="AI25" s="8">
        <f t="shared" si="3"/>
        <v>1</v>
      </c>
    </row>
    <row r="26" spans="1:35" ht="15" customHeight="1">
      <c r="A26" s="40">
        <v>23</v>
      </c>
      <c r="B26" s="48" t="str">
        <f>'1.HAFTA'!B26</f>
        <v>Ahmet Boyacıoğlu</v>
      </c>
      <c r="C26" s="43" t="s">
        <v>109</v>
      </c>
      <c r="D26" s="43">
        <v>1</v>
      </c>
      <c r="E26" s="43">
        <v>1</v>
      </c>
      <c r="F26" s="43">
        <v>1</v>
      </c>
      <c r="G26" s="43">
        <v>1</v>
      </c>
      <c r="H26" s="43" t="s">
        <v>109</v>
      </c>
      <c r="I26" s="43" t="s">
        <v>109</v>
      </c>
      <c r="J26" s="43"/>
      <c r="K26" s="43"/>
      <c r="L26" s="43"/>
      <c r="M26" s="43"/>
      <c r="N26" s="43"/>
      <c r="O26" s="43"/>
      <c r="P26" s="43"/>
      <c r="Q26" s="43">
        <v>0</v>
      </c>
      <c r="R26" s="43" t="s">
        <v>109</v>
      </c>
      <c r="S26" s="43" t="s">
        <v>109</v>
      </c>
      <c r="T26" s="43">
        <v>0</v>
      </c>
      <c r="U26" s="43">
        <v>0</v>
      </c>
      <c r="V26" s="43" t="s">
        <v>109</v>
      </c>
      <c r="W26" s="43" t="s">
        <v>109</v>
      </c>
      <c r="X26" s="43" t="s">
        <v>109</v>
      </c>
      <c r="Y26" s="43" t="s">
        <v>109</v>
      </c>
      <c r="Z26" s="43" t="s">
        <v>109</v>
      </c>
      <c r="AA26" s="43">
        <v>0</v>
      </c>
      <c r="AB26" s="43" t="s">
        <v>109</v>
      </c>
      <c r="AC26" s="43" t="s">
        <v>109</v>
      </c>
      <c r="AD26" s="43" t="s">
        <v>109</v>
      </c>
      <c r="AE26" s="23">
        <f t="shared" si="0"/>
        <v>1</v>
      </c>
      <c r="AF26" s="23" t="e">
        <f t="shared" si="1"/>
        <v>#DIV/0!</v>
      </c>
      <c r="AG26" s="23">
        <f t="shared" si="2"/>
        <v>0</v>
      </c>
      <c r="AH26" s="10">
        <f t="shared" si="4"/>
        <v>0</v>
      </c>
      <c r="AI26" s="8">
        <f t="shared" si="3"/>
        <v>0.5714285714285714</v>
      </c>
    </row>
    <row r="27" spans="1:35" ht="15" customHeight="1" thickBot="1">
      <c r="A27" s="54">
        <v>24</v>
      </c>
      <c r="B27" s="48" t="str">
        <f>'1.HAFTA'!B27</f>
        <v>Ahmet Kökçü</v>
      </c>
      <c r="C27" s="43" t="s">
        <v>109</v>
      </c>
      <c r="D27" s="43">
        <v>1</v>
      </c>
      <c r="E27" s="43">
        <v>1</v>
      </c>
      <c r="F27" s="43">
        <v>1</v>
      </c>
      <c r="G27" s="43">
        <v>1</v>
      </c>
      <c r="H27" s="43" t="s">
        <v>109</v>
      </c>
      <c r="I27" s="43" t="s">
        <v>109</v>
      </c>
      <c r="J27" s="43"/>
      <c r="K27" s="43"/>
      <c r="L27" s="43"/>
      <c r="M27" s="43"/>
      <c r="N27" s="43"/>
      <c r="O27" s="43"/>
      <c r="P27" s="43"/>
      <c r="Q27" s="43">
        <v>1</v>
      </c>
      <c r="R27" s="43" t="s">
        <v>109</v>
      </c>
      <c r="S27" s="43" t="s">
        <v>109</v>
      </c>
      <c r="T27" s="43">
        <v>1</v>
      </c>
      <c r="U27" s="43">
        <v>1</v>
      </c>
      <c r="V27" s="43" t="s">
        <v>109</v>
      </c>
      <c r="W27" s="43" t="s">
        <v>109</v>
      </c>
      <c r="X27" s="43" t="s">
        <v>109</v>
      </c>
      <c r="Y27" s="43" t="s">
        <v>109</v>
      </c>
      <c r="Z27" s="43" t="s">
        <v>109</v>
      </c>
      <c r="AA27" s="43">
        <v>1</v>
      </c>
      <c r="AB27" s="43" t="s">
        <v>109</v>
      </c>
      <c r="AC27" s="43" t="s">
        <v>109</v>
      </c>
      <c r="AD27" s="43" t="s">
        <v>109</v>
      </c>
      <c r="AE27" s="23">
        <f t="shared" si="0"/>
        <v>1</v>
      </c>
      <c r="AF27" s="23" t="e">
        <f t="shared" si="1"/>
        <v>#DIV/0!</v>
      </c>
      <c r="AG27" s="23">
        <f t="shared" si="2"/>
        <v>1</v>
      </c>
      <c r="AH27" s="10">
        <f t="shared" si="4"/>
        <v>1</v>
      </c>
      <c r="AI27" s="8">
        <f t="shared" si="3"/>
        <v>1</v>
      </c>
    </row>
    <row r="28" spans="1:35" ht="15" customHeight="1">
      <c r="A28" s="39">
        <v>25</v>
      </c>
      <c r="B28" s="48" t="str">
        <f>'1.HAFTA'!B28</f>
        <v>Fatih Burcu</v>
      </c>
      <c r="C28" s="43" t="s">
        <v>109</v>
      </c>
      <c r="D28" s="43">
        <v>1</v>
      </c>
      <c r="E28" s="43">
        <v>1</v>
      </c>
      <c r="F28" s="43">
        <v>1</v>
      </c>
      <c r="G28" s="43">
        <v>1</v>
      </c>
      <c r="H28" s="43" t="s">
        <v>109</v>
      </c>
      <c r="I28" s="43" t="s">
        <v>109</v>
      </c>
      <c r="J28" s="43"/>
      <c r="K28" s="43"/>
      <c r="L28" s="43"/>
      <c r="M28" s="43"/>
      <c r="N28" s="43"/>
      <c r="O28" s="43"/>
      <c r="P28" s="43"/>
      <c r="Q28" s="43">
        <v>1</v>
      </c>
      <c r="R28" s="43" t="s">
        <v>109</v>
      </c>
      <c r="S28" s="43" t="s">
        <v>109</v>
      </c>
      <c r="T28" s="43">
        <v>1</v>
      </c>
      <c r="U28" s="43">
        <v>1</v>
      </c>
      <c r="V28" s="43" t="s">
        <v>109</v>
      </c>
      <c r="W28" s="43" t="s">
        <v>109</v>
      </c>
      <c r="X28" s="43" t="s">
        <v>109</v>
      </c>
      <c r="Y28" s="43" t="s">
        <v>109</v>
      </c>
      <c r="Z28" s="43" t="s">
        <v>109</v>
      </c>
      <c r="AA28" s="43">
        <v>1</v>
      </c>
      <c r="AB28" s="43" t="s">
        <v>109</v>
      </c>
      <c r="AC28" s="43" t="s">
        <v>109</v>
      </c>
      <c r="AD28" s="43" t="s">
        <v>109</v>
      </c>
      <c r="AE28" s="23">
        <f t="shared" si="0"/>
        <v>1</v>
      </c>
      <c r="AF28" s="23" t="e">
        <f t="shared" si="1"/>
        <v>#DIV/0!</v>
      </c>
      <c r="AG28" s="23">
        <f t="shared" si="2"/>
        <v>1</v>
      </c>
      <c r="AH28" s="10">
        <f t="shared" si="4"/>
        <v>1</v>
      </c>
      <c r="AI28" s="8">
        <f t="shared" si="3"/>
        <v>1</v>
      </c>
    </row>
    <row r="29" spans="1:35" ht="15" customHeight="1">
      <c r="A29" s="40">
        <v>26</v>
      </c>
      <c r="B29" s="48" t="str">
        <f>'1.HAFTA'!B29</f>
        <v>Fehmi Kütük</v>
      </c>
      <c r="C29" s="43" t="s">
        <v>109</v>
      </c>
      <c r="D29" s="43">
        <v>1</v>
      </c>
      <c r="E29" s="43">
        <v>1</v>
      </c>
      <c r="F29" s="43">
        <v>1</v>
      </c>
      <c r="G29" s="43">
        <v>1</v>
      </c>
      <c r="H29" s="43" t="s">
        <v>109</v>
      </c>
      <c r="I29" s="43" t="s">
        <v>109</v>
      </c>
      <c r="J29" s="43"/>
      <c r="K29" s="43"/>
      <c r="L29" s="43"/>
      <c r="M29" s="43"/>
      <c r="N29" s="43"/>
      <c r="O29" s="43"/>
      <c r="P29" s="43"/>
      <c r="Q29" s="43">
        <v>0</v>
      </c>
      <c r="R29" s="43" t="s">
        <v>109</v>
      </c>
      <c r="S29" s="43" t="s">
        <v>109</v>
      </c>
      <c r="T29" s="43" t="s">
        <v>111</v>
      </c>
      <c r="U29" s="43">
        <v>0</v>
      </c>
      <c r="V29" s="43" t="s">
        <v>109</v>
      </c>
      <c r="W29" s="43" t="s">
        <v>109</v>
      </c>
      <c r="X29" s="43" t="s">
        <v>109</v>
      </c>
      <c r="Y29" s="43" t="s">
        <v>109</v>
      </c>
      <c r="Z29" s="43" t="s">
        <v>109</v>
      </c>
      <c r="AA29" s="43" t="s">
        <v>111</v>
      </c>
      <c r="AB29" s="43" t="s">
        <v>109</v>
      </c>
      <c r="AC29" s="43" t="s">
        <v>109</v>
      </c>
      <c r="AD29" s="43" t="s">
        <v>109</v>
      </c>
      <c r="AE29" s="23">
        <f t="shared" si="0"/>
        <v>1</v>
      </c>
      <c r="AF29" s="23" t="e">
        <f t="shared" si="1"/>
        <v>#DIV/0!</v>
      </c>
      <c r="AG29" s="23">
        <f t="shared" si="2"/>
        <v>0</v>
      </c>
      <c r="AH29" s="10" t="e">
        <f t="shared" si="4"/>
        <v>#DIV/0!</v>
      </c>
      <c r="AI29" s="8">
        <f t="shared" si="3"/>
        <v>0.66666666666666663</v>
      </c>
    </row>
    <row r="30" spans="1:35" ht="15" customHeight="1" thickBot="1">
      <c r="A30" s="54">
        <v>27</v>
      </c>
      <c r="B30" s="48" t="str">
        <f>'1.HAFTA'!B30</f>
        <v>Mehmet Cakmak</v>
      </c>
      <c r="C30" s="43" t="s">
        <v>109</v>
      </c>
      <c r="D30" s="43">
        <v>1</v>
      </c>
      <c r="E30" s="43">
        <v>1</v>
      </c>
      <c r="F30" s="43">
        <v>1</v>
      </c>
      <c r="G30" s="43">
        <v>1</v>
      </c>
      <c r="H30" s="43" t="s">
        <v>109</v>
      </c>
      <c r="I30" s="43" t="s">
        <v>109</v>
      </c>
      <c r="J30" s="43"/>
      <c r="K30" s="43"/>
      <c r="L30" s="43"/>
      <c r="M30" s="43"/>
      <c r="N30" s="43"/>
      <c r="O30" s="43"/>
      <c r="P30" s="43"/>
      <c r="Q30" s="43">
        <v>1</v>
      </c>
      <c r="R30" s="43" t="s">
        <v>109</v>
      </c>
      <c r="S30" s="43" t="s">
        <v>109</v>
      </c>
      <c r="T30" s="43">
        <v>1</v>
      </c>
      <c r="U30" s="43">
        <v>1</v>
      </c>
      <c r="V30" s="43" t="s">
        <v>109</v>
      </c>
      <c r="W30" s="43" t="s">
        <v>109</v>
      </c>
      <c r="X30" s="43" t="s">
        <v>109</v>
      </c>
      <c r="Y30" s="43" t="s">
        <v>109</v>
      </c>
      <c r="Z30" s="43" t="s">
        <v>109</v>
      </c>
      <c r="AA30" s="43">
        <v>1</v>
      </c>
      <c r="AB30" s="43" t="s">
        <v>109</v>
      </c>
      <c r="AC30" s="43" t="s">
        <v>109</v>
      </c>
      <c r="AD30" s="43" t="s">
        <v>109</v>
      </c>
      <c r="AE30" s="23">
        <f t="shared" si="0"/>
        <v>1</v>
      </c>
      <c r="AF30" s="23" t="e">
        <f t="shared" si="1"/>
        <v>#DIV/0!</v>
      </c>
      <c r="AG30" s="23">
        <f t="shared" si="2"/>
        <v>1</v>
      </c>
      <c r="AH30" s="10">
        <f t="shared" si="4"/>
        <v>1</v>
      </c>
      <c r="AI30" s="8">
        <f t="shared" si="3"/>
        <v>1</v>
      </c>
    </row>
    <row r="31" spans="1:35" ht="15" customHeight="1">
      <c r="A31" s="39">
        <v>28</v>
      </c>
      <c r="B31" s="48" t="str">
        <f>'1.HAFTA'!B31</f>
        <v>Rasit Aldirmaz</v>
      </c>
      <c r="C31" s="43" t="s">
        <v>109</v>
      </c>
      <c r="D31" s="43" t="s">
        <v>109</v>
      </c>
      <c r="E31" s="43" t="s">
        <v>109</v>
      </c>
      <c r="F31" s="43">
        <v>1</v>
      </c>
      <c r="G31" s="43">
        <v>1</v>
      </c>
      <c r="H31" s="43" t="s">
        <v>109</v>
      </c>
      <c r="I31" s="43" t="s">
        <v>109</v>
      </c>
      <c r="J31" s="43"/>
      <c r="K31" s="43"/>
      <c r="L31" s="43"/>
      <c r="M31" s="43"/>
      <c r="N31" s="43"/>
      <c r="O31" s="43"/>
      <c r="P31" s="43"/>
      <c r="Q31" s="43" t="s">
        <v>109</v>
      </c>
      <c r="R31" s="43" t="s">
        <v>109</v>
      </c>
      <c r="S31" s="43" t="s">
        <v>109</v>
      </c>
      <c r="T31" s="43">
        <v>1</v>
      </c>
      <c r="U31" s="43">
        <v>0</v>
      </c>
      <c r="V31" s="43" t="s">
        <v>109</v>
      </c>
      <c r="W31" s="43" t="s">
        <v>109</v>
      </c>
      <c r="X31" s="43" t="s">
        <v>109</v>
      </c>
      <c r="Y31" s="43" t="s">
        <v>109</v>
      </c>
      <c r="Z31" s="43" t="s">
        <v>109</v>
      </c>
      <c r="AA31" s="43">
        <v>1</v>
      </c>
      <c r="AB31" s="43" t="s">
        <v>109</v>
      </c>
      <c r="AC31" s="43" t="s">
        <v>109</v>
      </c>
      <c r="AD31" s="43" t="s">
        <v>109</v>
      </c>
      <c r="AE31" s="23">
        <f t="shared" si="0"/>
        <v>1</v>
      </c>
      <c r="AF31" s="23" t="e">
        <f t="shared" si="1"/>
        <v>#DIV/0!</v>
      </c>
      <c r="AG31" s="23">
        <f t="shared" si="2"/>
        <v>0.5</v>
      </c>
      <c r="AH31" s="10">
        <f t="shared" si="4"/>
        <v>1</v>
      </c>
      <c r="AI31" s="8">
        <f t="shared" si="3"/>
        <v>0.75</v>
      </c>
    </row>
    <row r="32" spans="1:35" ht="15" customHeight="1">
      <c r="A32" s="40">
        <v>29</v>
      </c>
      <c r="B32" s="48" t="str">
        <f>'1.HAFTA'!B32</f>
        <v>Tunahan Altun</v>
      </c>
      <c r="C32" s="43" t="s">
        <v>109</v>
      </c>
      <c r="D32" s="43">
        <v>1</v>
      </c>
      <c r="E32" s="43">
        <v>1</v>
      </c>
      <c r="F32" s="43">
        <v>1</v>
      </c>
      <c r="G32" s="43">
        <v>1</v>
      </c>
      <c r="H32" s="43" t="s">
        <v>109</v>
      </c>
      <c r="I32" s="43" t="s">
        <v>109</v>
      </c>
      <c r="J32" s="43"/>
      <c r="K32" s="43"/>
      <c r="L32" s="43"/>
      <c r="M32" s="43"/>
      <c r="N32" s="43"/>
      <c r="O32" s="43"/>
      <c r="P32" s="43"/>
      <c r="Q32" s="43">
        <v>0</v>
      </c>
      <c r="R32" s="43" t="s">
        <v>109</v>
      </c>
      <c r="S32" s="43" t="s">
        <v>109</v>
      </c>
      <c r="T32" s="43">
        <v>1</v>
      </c>
      <c r="U32" s="43" t="s">
        <v>109</v>
      </c>
      <c r="V32" s="43" t="s">
        <v>109</v>
      </c>
      <c r="W32" s="43" t="s">
        <v>109</v>
      </c>
      <c r="X32" s="43" t="s">
        <v>109</v>
      </c>
      <c r="Y32" s="43" t="s">
        <v>109</v>
      </c>
      <c r="Z32" s="43" t="s">
        <v>109</v>
      </c>
      <c r="AA32" s="43">
        <v>1</v>
      </c>
      <c r="AB32" s="43" t="s">
        <v>109</v>
      </c>
      <c r="AC32" s="43" t="s">
        <v>109</v>
      </c>
      <c r="AD32" s="43" t="s">
        <v>109</v>
      </c>
      <c r="AE32" s="23">
        <f t="shared" si="0"/>
        <v>1</v>
      </c>
      <c r="AF32" s="23" t="e">
        <f t="shared" si="1"/>
        <v>#DIV/0!</v>
      </c>
      <c r="AG32" s="23">
        <f t="shared" si="2"/>
        <v>0.5</v>
      </c>
      <c r="AH32" s="10">
        <f t="shared" si="4"/>
        <v>1</v>
      </c>
      <c r="AI32" s="8">
        <f t="shared" si="3"/>
        <v>0.83333333333333337</v>
      </c>
    </row>
    <row r="33" spans="1:37" ht="15" customHeight="1" thickBot="1">
      <c r="A33" s="54">
        <v>30</v>
      </c>
      <c r="B33" s="48" t="str">
        <f>'1.HAFTA'!B33</f>
        <v>Yusuf Emin Doğan</v>
      </c>
      <c r="C33" s="43" t="s">
        <v>109</v>
      </c>
      <c r="D33" s="43">
        <v>1</v>
      </c>
      <c r="E33" s="43">
        <v>1</v>
      </c>
      <c r="F33" s="43">
        <v>1</v>
      </c>
      <c r="G33" s="43">
        <v>1</v>
      </c>
      <c r="H33" s="43" t="s">
        <v>109</v>
      </c>
      <c r="I33" s="43" t="s">
        <v>109</v>
      </c>
      <c r="J33" s="43"/>
      <c r="K33" s="43"/>
      <c r="L33" s="43"/>
      <c r="M33" s="43"/>
      <c r="N33" s="43"/>
      <c r="O33" s="43"/>
      <c r="P33" s="43"/>
      <c r="Q33" s="43">
        <v>0</v>
      </c>
      <c r="R33" s="43" t="s">
        <v>109</v>
      </c>
      <c r="S33" s="43" t="s">
        <v>109</v>
      </c>
      <c r="T33" s="43" t="s">
        <v>112</v>
      </c>
      <c r="U33" s="43">
        <v>0</v>
      </c>
      <c r="V33" s="43" t="s">
        <v>109</v>
      </c>
      <c r="W33" s="43" t="s">
        <v>109</v>
      </c>
      <c r="X33" s="43" t="s">
        <v>109</v>
      </c>
      <c r="Y33" s="43" t="s">
        <v>109</v>
      </c>
      <c r="Z33" s="43" t="s">
        <v>109</v>
      </c>
      <c r="AA33" s="43" t="s">
        <v>112</v>
      </c>
      <c r="AB33" s="43" t="s">
        <v>109</v>
      </c>
      <c r="AC33" s="43" t="s">
        <v>109</v>
      </c>
      <c r="AD33" s="43" t="s">
        <v>109</v>
      </c>
      <c r="AE33" s="23">
        <f t="shared" si="0"/>
        <v>1</v>
      </c>
      <c r="AF33" s="23" t="e">
        <f t="shared" si="1"/>
        <v>#DIV/0!</v>
      </c>
      <c r="AG33" s="23">
        <f t="shared" si="2"/>
        <v>0</v>
      </c>
      <c r="AH33" s="10" t="e">
        <f t="shared" si="4"/>
        <v>#DIV/0!</v>
      </c>
      <c r="AI33" s="8">
        <f t="shared" si="3"/>
        <v>0.66666666666666663</v>
      </c>
    </row>
    <row r="34" spans="1:37" ht="15" customHeight="1">
      <c r="A34" s="39">
        <v>31</v>
      </c>
      <c r="B34" s="48" t="str">
        <f>'1.HAFTA'!B34</f>
        <v>Ahmet Doğan</v>
      </c>
      <c r="C34" s="43" t="s">
        <v>109</v>
      </c>
      <c r="D34" s="43">
        <v>1</v>
      </c>
      <c r="E34" s="43">
        <v>1</v>
      </c>
      <c r="F34" s="43">
        <v>1</v>
      </c>
      <c r="G34" s="43">
        <v>1</v>
      </c>
      <c r="H34" s="43" t="s">
        <v>109</v>
      </c>
      <c r="I34" s="43" t="s">
        <v>109</v>
      </c>
      <c r="J34" s="43"/>
      <c r="K34" s="43"/>
      <c r="L34" s="43"/>
      <c r="M34" s="43"/>
      <c r="N34" s="43"/>
      <c r="O34" s="43"/>
      <c r="P34" s="43"/>
      <c r="Q34" s="43">
        <v>1</v>
      </c>
      <c r="R34" s="43" t="s">
        <v>109</v>
      </c>
      <c r="S34" s="43" t="s">
        <v>109</v>
      </c>
      <c r="T34" s="43">
        <v>0</v>
      </c>
      <c r="U34" s="43">
        <v>1</v>
      </c>
      <c r="V34" s="43" t="s">
        <v>109</v>
      </c>
      <c r="W34" s="43" t="s">
        <v>109</v>
      </c>
      <c r="X34" s="43" t="s">
        <v>109</v>
      </c>
      <c r="Y34" s="43" t="s">
        <v>109</v>
      </c>
      <c r="Z34" s="43" t="s">
        <v>109</v>
      </c>
      <c r="AA34" s="43">
        <v>0</v>
      </c>
      <c r="AB34" s="43" t="s">
        <v>109</v>
      </c>
      <c r="AC34" s="43" t="s">
        <v>109</v>
      </c>
      <c r="AD34" s="43" t="s">
        <v>109</v>
      </c>
      <c r="AE34" s="23">
        <f t="shared" ref="AE34:AE59" si="5">AVERAGE(C34:I34)</f>
        <v>1</v>
      </c>
      <c r="AF34" s="23" t="e">
        <f t="shared" si="1"/>
        <v>#DIV/0!</v>
      </c>
      <c r="AG34" s="23">
        <f t="shared" si="2"/>
        <v>0.66666666666666663</v>
      </c>
      <c r="AH34" s="10">
        <f t="shared" si="4"/>
        <v>0</v>
      </c>
      <c r="AI34" s="8">
        <f t="shared" si="3"/>
        <v>0.8571428571428571</v>
      </c>
    </row>
    <row r="35" spans="1:37" ht="15" customHeight="1">
      <c r="A35" s="40">
        <v>32</v>
      </c>
      <c r="B35" s="48" t="str">
        <f>'1.HAFTA'!B35</f>
        <v>Cihan Boorsma</v>
      </c>
      <c r="C35" s="43" t="s">
        <v>109</v>
      </c>
      <c r="D35" s="43">
        <v>0</v>
      </c>
      <c r="E35" s="43">
        <v>1</v>
      </c>
      <c r="F35" s="43">
        <v>1</v>
      </c>
      <c r="G35" s="43">
        <v>1</v>
      </c>
      <c r="H35" s="43" t="s">
        <v>109</v>
      </c>
      <c r="I35" s="43" t="s">
        <v>109</v>
      </c>
      <c r="J35" s="43"/>
      <c r="K35" s="43"/>
      <c r="L35" s="43"/>
      <c r="M35" s="43"/>
      <c r="N35" s="43"/>
      <c r="O35" s="43"/>
      <c r="P35" s="43"/>
      <c r="Q35" s="43">
        <v>1</v>
      </c>
      <c r="R35" s="43" t="s">
        <v>109</v>
      </c>
      <c r="S35" s="43" t="s">
        <v>109</v>
      </c>
      <c r="T35" s="43">
        <v>1</v>
      </c>
      <c r="U35" s="43">
        <v>1</v>
      </c>
      <c r="V35" s="43" t="s">
        <v>109</v>
      </c>
      <c r="W35" s="43" t="s">
        <v>109</v>
      </c>
      <c r="X35" s="43" t="s">
        <v>109</v>
      </c>
      <c r="Y35" s="43" t="s">
        <v>109</v>
      </c>
      <c r="Z35" s="43" t="s">
        <v>109</v>
      </c>
      <c r="AA35" s="43">
        <v>1</v>
      </c>
      <c r="AB35" s="43" t="s">
        <v>109</v>
      </c>
      <c r="AC35" s="43" t="s">
        <v>109</v>
      </c>
      <c r="AD35" s="43" t="s">
        <v>109</v>
      </c>
      <c r="AE35" s="23">
        <f t="shared" si="5"/>
        <v>0.75</v>
      </c>
      <c r="AF35" s="23" t="e">
        <f t="shared" si="1"/>
        <v>#DIV/0!</v>
      </c>
      <c r="AG35" s="23">
        <f t="shared" si="2"/>
        <v>1</v>
      </c>
      <c r="AH35" s="10">
        <f t="shared" si="4"/>
        <v>1</v>
      </c>
      <c r="AI35" s="8">
        <f t="shared" si="3"/>
        <v>0.8571428571428571</v>
      </c>
    </row>
    <row r="36" spans="1:37" ht="15" customHeight="1" thickBot="1">
      <c r="A36" s="54">
        <v>33</v>
      </c>
      <c r="B36" s="48" t="str">
        <f>'1.HAFTA'!B36</f>
        <v>Mehmethan Gür</v>
      </c>
      <c r="C36" s="43" t="s">
        <v>109</v>
      </c>
      <c r="D36" s="43">
        <v>1</v>
      </c>
      <c r="E36" s="43">
        <v>1</v>
      </c>
      <c r="F36" s="43">
        <v>1</v>
      </c>
      <c r="G36" s="43">
        <v>1</v>
      </c>
      <c r="H36" s="43" t="s">
        <v>109</v>
      </c>
      <c r="I36" s="43" t="s">
        <v>109</v>
      </c>
      <c r="J36" s="43"/>
      <c r="K36" s="43"/>
      <c r="L36" s="43"/>
      <c r="M36" s="43"/>
      <c r="N36" s="43"/>
      <c r="O36" s="43"/>
      <c r="P36" s="43"/>
      <c r="Q36" s="43">
        <v>1</v>
      </c>
      <c r="R36" s="43" t="s">
        <v>109</v>
      </c>
      <c r="S36" s="43" t="s">
        <v>109</v>
      </c>
      <c r="T36" s="43">
        <v>1</v>
      </c>
      <c r="U36" s="43">
        <v>1</v>
      </c>
      <c r="V36" s="43" t="s">
        <v>109</v>
      </c>
      <c r="W36" s="43" t="s">
        <v>109</v>
      </c>
      <c r="X36" s="43" t="s">
        <v>109</v>
      </c>
      <c r="Y36" s="43" t="s">
        <v>109</v>
      </c>
      <c r="Z36" s="43" t="s">
        <v>109</v>
      </c>
      <c r="AA36" s="43">
        <v>1</v>
      </c>
      <c r="AB36" s="43" t="s">
        <v>109</v>
      </c>
      <c r="AC36" s="43" t="s">
        <v>109</v>
      </c>
      <c r="AD36" s="43" t="s">
        <v>109</v>
      </c>
      <c r="AE36" s="23">
        <f t="shared" si="5"/>
        <v>1</v>
      </c>
      <c r="AF36" s="23" t="e">
        <f t="shared" si="1"/>
        <v>#DIV/0!</v>
      </c>
      <c r="AG36" s="23">
        <f t="shared" si="2"/>
        <v>1</v>
      </c>
      <c r="AH36" s="10">
        <f t="shared" si="4"/>
        <v>1</v>
      </c>
      <c r="AI36" s="8">
        <f t="shared" si="3"/>
        <v>1</v>
      </c>
    </row>
    <row r="37" spans="1:37" ht="15" customHeight="1">
      <c r="A37" s="39">
        <v>34</v>
      </c>
      <c r="B37" s="48" t="str">
        <f>'1.HAFTA'!B37</f>
        <v>Melih Taş</v>
      </c>
      <c r="C37" s="43" t="s">
        <v>109</v>
      </c>
      <c r="D37" s="43">
        <v>1</v>
      </c>
      <c r="E37" s="43">
        <v>1</v>
      </c>
      <c r="F37" s="43">
        <v>1</v>
      </c>
      <c r="G37" s="43">
        <v>1</v>
      </c>
      <c r="H37" s="43" t="s">
        <v>109</v>
      </c>
      <c r="I37" s="43" t="s">
        <v>109</v>
      </c>
      <c r="J37" s="43"/>
      <c r="K37" s="43"/>
      <c r="L37" s="43"/>
      <c r="M37" s="43"/>
      <c r="N37" s="43"/>
      <c r="O37" s="43"/>
      <c r="P37" s="43"/>
      <c r="Q37" s="43">
        <v>0</v>
      </c>
      <c r="R37" s="43" t="s">
        <v>109</v>
      </c>
      <c r="S37" s="43" t="s">
        <v>109</v>
      </c>
      <c r="T37" s="43">
        <v>0</v>
      </c>
      <c r="U37" s="43">
        <v>0</v>
      </c>
      <c r="V37" s="43" t="s">
        <v>109</v>
      </c>
      <c r="W37" s="43" t="s">
        <v>109</v>
      </c>
      <c r="X37" s="43" t="s">
        <v>109</v>
      </c>
      <c r="Y37" s="43" t="s">
        <v>109</v>
      </c>
      <c r="Z37" s="43" t="s">
        <v>109</v>
      </c>
      <c r="AA37" s="43">
        <v>0</v>
      </c>
      <c r="AB37" s="43" t="s">
        <v>109</v>
      </c>
      <c r="AC37" s="43" t="s">
        <v>109</v>
      </c>
      <c r="AD37" s="43" t="s">
        <v>109</v>
      </c>
      <c r="AE37" s="23">
        <f t="shared" si="5"/>
        <v>1</v>
      </c>
      <c r="AF37" s="23" t="e">
        <f t="shared" si="1"/>
        <v>#DIV/0!</v>
      </c>
      <c r="AG37" s="23">
        <f t="shared" si="2"/>
        <v>0</v>
      </c>
      <c r="AH37" s="10">
        <f t="shared" si="4"/>
        <v>0</v>
      </c>
      <c r="AI37" s="8">
        <f t="shared" si="3"/>
        <v>0.5714285714285714</v>
      </c>
    </row>
    <row r="38" spans="1:37" ht="15" customHeight="1">
      <c r="A38" s="40">
        <v>35</v>
      </c>
      <c r="B38" s="48" t="str">
        <f>'1.HAFTA'!B38</f>
        <v>Melih Uzun</v>
      </c>
      <c r="C38" s="43" t="s">
        <v>109</v>
      </c>
      <c r="D38" s="43" t="s">
        <v>110</v>
      </c>
      <c r="E38" s="43">
        <v>1</v>
      </c>
      <c r="F38" s="43">
        <v>1</v>
      </c>
      <c r="G38" s="43">
        <v>1</v>
      </c>
      <c r="H38" s="43" t="s">
        <v>109</v>
      </c>
      <c r="I38" s="43" t="s">
        <v>109</v>
      </c>
      <c r="J38" s="43"/>
      <c r="K38" s="43"/>
      <c r="L38" s="43"/>
      <c r="M38" s="43"/>
      <c r="N38" s="43"/>
      <c r="O38" s="43"/>
      <c r="P38" s="43"/>
      <c r="Q38" s="43">
        <v>0</v>
      </c>
      <c r="R38" s="43" t="s">
        <v>109</v>
      </c>
      <c r="S38" s="43" t="s">
        <v>109</v>
      </c>
      <c r="T38" s="43">
        <v>1</v>
      </c>
      <c r="U38" s="43">
        <v>1</v>
      </c>
      <c r="V38" s="43" t="s">
        <v>109</v>
      </c>
      <c r="W38" s="43" t="s">
        <v>109</v>
      </c>
      <c r="X38" s="43" t="s">
        <v>109</v>
      </c>
      <c r="Y38" s="43" t="s">
        <v>109</v>
      </c>
      <c r="Z38" s="43" t="s">
        <v>109</v>
      </c>
      <c r="AA38" s="43">
        <v>1</v>
      </c>
      <c r="AB38" s="43" t="s">
        <v>109</v>
      </c>
      <c r="AC38" s="43" t="s">
        <v>109</v>
      </c>
      <c r="AD38" s="43" t="s">
        <v>109</v>
      </c>
      <c r="AE38" s="23">
        <f t="shared" si="5"/>
        <v>1</v>
      </c>
      <c r="AF38" s="23" t="e">
        <f t="shared" si="1"/>
        <v>#DIV/0!</v>
      </c>
      <c r="AG38" s="23">
        <f t="shared" si="2"/>
        <v>0.66666666666666663</v>
      </c>
      <c r="AH38" s="10">
        <f t="shared" si="4"/>
        <v>1</v>
      </c>
      <c r="AI38" s="8">
        <f t="shared" si="3"/>
        <v>0.83333333333333337</v>
      </c>
      <c r="AK38" s="74"/>
    </row>
    <row r="39" spans="1:37" ht="15" customHeight="1" thickBot="1">
      <c r="A39" s="54">
        <v>36</v>
      </c>
      <c r="B39" s="48" t="str">
        <f>'1.HAFTA'!B39</f>
        <v>Mucahit Kan</v>
      </c>
      <c r="C39" s="43" t="s">
        <v>109</v>
      </c>
      <c r="D39" s="43">
        <v>1</v>
      </c>
      <c r="E39" s="43">
        <v>0</v>
      </c>
      <c r="F39" s="43">
        <v>0</v>
      </c>
      <c r="G39" s="43">
        <v>1</v>
      </c>
      <c r="H39" s="43" t="s">
        <v>109</v>
      </c>
      <c r="I39" s="43" t="s">
        <v>109</v>
      </c>
      <c r="J39" s="43"/>
      <c r="K39" s="43"/>
      <c r="L39" s="43"/>
      <c r="M39" s="43"/>
      <c r="N39" s="43"/>
      <c r="O39" s="43"/>
      <c r="P39" s="43"/>
      <c r="Q39" s="43">
        <v>0</v>
      </c>
      <c r="R39" s="43" t="s">
        <v>109</v>
      </c>
      <c r="S39" s="43" t="s">
        <v>109</v>
      </c>
      <c r="T39" s="43">
        <v>1</v>
      </c>
      <c r="U39" s="43">
        <v>0</v>
      </c>
      <c r="V39" s="43" t="s">
        <v>109</v>
      </c>
      <c r="W39" s="43" t="s">
        <v>109</v>
      </c>
      <c r="X39" s="43" t="s">
        <v>109</v>
      </c>
      <c r="Y39" s="43" t="s">
        <v>109</v>
      </c>
      <c r="Z39" s="43" t="s">
        <v>109</v>
      </c>
      <c r="AA39" s="43">
        <v>1</v>
      </c>
      <c r="AB39" s="43" t="s">
        <v>109</v>
      </c>
      <c r="AC39" s="43" t="s">
        <v>109</v>
      </c>
      <c r="AD39" s="43" t="s">
        <v>109</v>
      </c>
      <c r="AE39" s="23">
        <f t="shared" si="5"/>
        <v>0.5</v>
      </c>
      <c r="AF39" s="23" t="e">
        <f t="shared" si="1"/>
        <v>#DIV/0!</v>
      </c>
      <c r="AG39" s="23">
        <f t="shared" si="2"/>
        <v>0.33333333333333331</v>
      </c>
      <c r="AH39" s="10">
        <f t="shared" si="4"/>
        <v>1</v>
      </c>
      <c r="AI39" s="8">
        <f t="shared" si="3"/>
        <v>0.42857142857142855</v>
      </c>
    </row>
    <row r="40" spans="1:37" ht="15" customHeight="1">
      <c r="A40" s="39">
        <v>37</v>
      </c>
      <c r="B40" s="48" t="str">
        <f>'1.HAFTA'!B40</f>
        <v>Oğuzhan Üzümcü</v>
      </c>
      <c r="C40" s="43" t="s">
        <v>109</v>
      </c>
      <c r="D40" s="43">
        <v>1</v>
      </c>
      <c r="E40" s="43">
        <v>1</v>
      </c>
      <c r="F40" s="43">
        <v>1</v>
      </c>
      <c r="G40" s="43">
        <v>1</v>
      </c>
      <c r="H40" s="43" t="s">
        <v>109</v>
      </c>
      <c r="I40" s="43" t="s">
        <v>109</v>
      </c>
      <c r="J40" s="43"/>
      <c r="K40" s="43"/>
      <c r="L40" s="43"/>
      <c r="M40" s="43"/>
      <c r="N40" s="43"/>
      <c r="O40" s="43"/>
      <c r="P40" s="43"/>
      <c r="Q40" s="43">
        <v>1</v>
      </c>
      <c r="R40" s="43" t="s">
        <v>109</v>
      </c>
      <c r="S40" s="43" t="s">
        <v>109</v>
      </c>
      <c r="T40" s="43">
        <v>1</v>
      </c>
      <c r="U40" s="43">
        <v>1</v>
      </c>
      <c r="V40" s="43" t="s">
        <v>109</v>
      </c>
      <c r="W40" s="43" t="s">
        <v>109</v>
      </c>
      <c r="X40" s="43" t="s">
        <v>109</v>
      </c>
      <c r="Y40" s="43" t="s">
        <v>109</v>
      </c>
      <c r="Z40" s="43" t="s">
        <v>109</v>
      </c>
      <c r="AA40" s="43">
        <v>1</v>
      </c>
      <c r="AB40" s="43" t="s">
        <v>109</v>
      </c>
      <c r="AC40" s="43" t="s">
        <v>109</v>
      </c>
      <c r="AD40" s="43" t="s">
        <v>109</v>
      </c>
      <c r="AE40" s="23">
        <f t="shared" si="5"/>
        <v>1</v>
      </c>
      <c r="AF40" s="23" t="e">
        <f t="shared" si="1"/>
        <v>#DIV/0!</v>
      </c>
      <c r="AG40" s="23">
        <f t="shared" si="2"/>
        <v>1</v>
      </c>
      <c r="AH40" s="10">
        <f t="shared" si="4"/>
        <v>1</v>
      </c>
      <c r="AI40" s="8">
        <f t="shared" si="3"/>
        <v>1</v>
      </c>
    </row>
    <row r="41" spans="1:37" ht="15" customHeight="1">
      <c r="A41" s="40">
        <v>38</v>
      </c>
      <c r="B41" s="48" t="str">
        <f>'1.HAFTA'!B41</f>
        <v>Orhan Boyacıoğlu</v>
      </c>
      <c r="C41" s="43" t="s">
        <v>109</v>
      </c>
      <c r="D41" s="43">
        <v>1</v>
      </c>
      <c r="E41" s="43">
        <v>1</v>
      </c>
      <c r="F41" s="43">
        <v>1</v>
      </c>
      <c r="G41" s="43">
        <v>0</v>
      </c>
      <c r="H41" s="43" t="s">
        <v>109</v>
      </c>
      <c r="I41" s="43" t="s">
        <v>109</v>
      </c>
      <c r="J41" s="43"/>
      <c r="K41" s="43"/>
      <c r="L41" s="43"/>
      <c r="M41" s="43"/>
      <c r="N41" s="43"/>
      <c r="O41" s="43"/>
      <c r="P41" s="43"/>
      <c r="Q41" s="43">
        <v>1</v>
      </c>
      <c r="R41" s="43" t="s">
        <v>109</v>
      </c>
      <c r="S41" s="43" t="s">
        <v>109</v>
      </c>
      <c r="T41" s="43">
        <v>1</v>
      </c>
      <c r="U41" s="43">
        <v>1</v>
      </c>
      <c r="V41" s="43" t="s">
        <v>109</v>
      </c>
      <c r="W41" s="43" t="s">
        <v>109</v>
      </c>
      <c r="X41" s="43" t="s">
        <v>109</v>
      </c>
      <c r="Y41" s="43" t="s">
        <v>109</v>
      </c>
      <c r="Z41" s="43" t="s">
        <v>109</v>
      </c>
      <c r="AA41" s="43">
        <v>1</v>
      </c>
      <c r="AB41" s="43" t="s">
        <v>109</v>
      </c>
      <c r="AC41" s="43" t="s">
        <v>109</v>
      </c>
      <c r="AD41" s="43" t="s">
        <v>109</v>
      </c>
      <c r="AE41" s="23">
        <f t="shared" si="5"/>
        <v>0.75</v>
      </c>
      <c r="AF41" s="23" t="e">
        <f t="shared" si="1"/>
        <v>#DIV/0!</v>
      </c>
      <c r="AG41" s="23">
        <f t="shared" si="2"/>
        <v>1</v>
      </c>
      <c r="AH41" s="10">
        <f t="shared" si="4"/>
        <v>1</v>
      </c>
      <c r="AI41" s="8">
        <f t="shared" si="3"/>
        <v>0.8571428571428571</v>
      </c>
    </row>
    <row r="42" spans="1:37" ht="15" customHeight="1" thickBot="1">
      <c r="A42" s="54">
        <v>39</v>
      </c>
      <c r="B42" s="48" t="str">
        <f>'1.HAFTA'!B42</f>
        <v>Osman Sevilir</v>
      </c>
      <c r="C42" s="43" t="s">
        <v>109</v>
      </c>
      <c r="D42" s="43">
        <v>0</v>
      </c>
      <c r="E42" s="43">
        <v>0</v>
      </c>
      <c r="F42" s="43" t="s">
        <v>109</v>
      </c>
      <c r="G42" s="43">
        <v>1</v>
      </c>
      <c r="H42" s="43" t="s">
        <v>109</v>
      </c>
      <c r="I42" s="43" t="s">
        <v>109</v>
      </c>
      <c r="J42" s="43"/>
      <c r="K42" s="43"/>
      <c r="L42" s="43"/>
      <c r="M42" s="43"/>
      <c r="N42" s="43"/>
      <c r="O42" s="43"/>
      <c r="P42" s="43"/>
      <c r="Q42" s="43">
        <v>0</v>
      </c>
      <c r="R42" s="43" t="s">
        <v>109</v>
      </c>
      <c r="S42" s="43" t="s">
        <v>109</v>
      </c>
      <c r="T42" s="43" t="s">
        <v>109</v>
      </c>
      <c r="U42" s="43">
        <v>0</v>
      </c>
      <c r="V42" s="43" t="s">
        <v>109</v>
      </c>
      <c r="W42" s="43" t="s">
        <v>109</v>
      </c>
      <c r="X42" s="43" t="s">
        <v>109</v>
      </c>
      <c r="Y42" s="43" t="s">
        <v>109</v>
      </c>
      <c r="Z42" s="43" t="s">
        <v>109</v>
      </c>
      <c r="AA42" s="43" t="s">
        <v>109</v>
      </c>
      <c r="AB42" s="43" t="s">
        <v>109</v>
      </c>
      <c r="AC42" s="43" t="s">
        <v>109</v>
      </c>
      <c r="AD42" s="43" t="s">
        <v>109</v>
      </c>
      <c r="AE42" s="23">
        <f t="shared" si="5"/>
        <v>0.33333333333333331</v>
      </c>
      <c r="AF42" s="23" t="e">
        <f t="shared" ref="AF42:AF58" si="6">AVERAGE(J42:P42)</f>
        <v>#DIV/0!</v>
      </c>
      <c r="AG42" s="23">
        <f t="shared" ref="AG42:AG58" si="7">AVERAGE(Q42:W42)</f>
        <v>0</v>
      </c>
      <c r="AH42" s="10" t="e">
        <f t="shared" ref="AH42:AH58" si="8">AVERAGE(X42:AD42)</f>
        <v>#DIV/0!</v>
      </c>
      <c r="AI42" s="8">
        <f t="shared" ref="AI42:AI58" si="9">AVERAGE(C42:W42)</f>
        <v>0.2</v>
      </c>
    </row>
    <row r="43" spans="1:37" ht="15" customHeight="1">
      <c r="A43" s="39">
        <v>40</v>
      </c>
      <c r="B43" s="48" t="str">
        <f>'1.HAFTA'!B43</f>
        <v>Salih Gedik</v>
      </c>
      <c r="C43" s="43" t="s">
        <v>109</v>
      </c>
      <c r="D43" s="43">
        <v>1</v>
      </c>
      <c r="E43" s="43">
        <v>0</v>
      </c>
      <c r="F43" s="43">
        <v>0</v>
      </c>
      <c r="G43" s="43">
        <v>1</v>
      </c>
      <c r="H43" s="43" t="s">
        <v>109</v>
      </c>
      <c r="I43" s="43" t="s">
        <v>109</v>
      </c>
      <c r="J43" s="43"/>
      <c r="K43" s="43"/>
      <c r="L43" s="43"/>
      <c r="M43" s="43"/>
      <c r="N43" s="43"/>
      <c r="O43" s="43"/>
      <c r="P43" s="43"/>
      <c r="Q43" s="43">
        <v>0</v>
      </c>
      <c r="R43" s="43" t="s">
        <v>109</v>
      </c>
      <c r="S43" s="43" t="s">
        <v>109</v>
      </c>
      <c r="T43" s="43" t="s">
        <v>109</v>
      </c>
      <c r="U43" s="43">
        <v>0</v>
      </c>
      <c r="V43" s="43" t="s">
        <v>109</v>
      </c>
      <c r="W43" s="43" t="s">
        <v>109</v>
      </c>
      <c r="X43" s="43" t="s">
        <v>109</v>
      </c>
      <c r="Y43" s="43" t="s">
        <v>109</v>
      </c>
      <c r="Z43" s="43" t="s">
        <v>109</v>
      </c>
      <c r="AA43" s="43" t="s">
        <v>109</v>
      </c>
      <c r="AB43" s="43" t="s">
        <v>109</v>
      </c>
      <c r="AC43" s="43" t="s">
        <v>109</v>
      </c>
      <c r="AD43" s="43" t="s">
        <v>109</v>
      </c>
      <c r="AE43" s="23">
        <f t="shared" si="5"/>
        <v>0.5</v>
      </c>
      <c r="AF43" s="23" t="e">
        <f t="shared" si="6"/>
        <v>#DIV/0!</v>
      </c>
      <c r="AG43" s="23">
        <f t="shared" si="7"/>
        <v>0</v>
      </c>
      <c r="AH43" s="10" t="e">
        <f t="shared" si="8"/>
        <v>#DIV/0!</v>
      </c>
      <c r="AI43" s="8">
        <f t="shared" si="9"/>
        <v>0.33333333333333331</v>
      </c>
    </row>
    <row r="44" spans="1:37" ht="15" customHeight="1">
      <c r="A44" s="40">
        <v>41</v>
      </c>
      <c r="B44" s="48" t="str">
        <f>'1.HAFTA'!B44</f>
        <v>Usame Alışkan</v>
      </c>
      <c r="C44" s="43" t="s">
        <v>109</v>
      </c>
      <c r="D44" s="86">
        <v>1</v>
      </c>
      <c r="E44" s="86">
        <v>1</v>
      </c>
      <c r="F44" s="86">
        <v>1</v>
      </c>
      <c r="G44" s="43">
        <v>1</v>
      </c>
      <c r="H44" s="43" t="s">
        <v>109</v>
      </c>
      <c r="I44" s="43" t="s">
        <v>109</v>
      </c>
      <c r="J44" s="86"/>
      <c r="K44" s="86"/>
      <c r="L44" s="86"/>
      <c r="M44" s="86"/>
      <c r="N44" s="86"/>
      <c r="O44" s="86"/>
      <c r="P44" s="86"/>
      <c r="Q44" s="86">
        <v>1</v>
      </c>
      <c r="R44" s="43" t="s">
        <v>109</v>
      </c>
      <c r="S44" s="43" t="s">
        <v>109</v>
      </c>
      <c r="T44" s="43" t="s">
        <v>109</v>
      </c>
      <c r="U44" s="43">
        <v>1</v>
      </c>
      <c r="V44" s="43" t="s">
        <v>109</v>
      </c>
      <c r="W44" s="43" t="s">
        <v>109</v>
      </c>
      <c r="X44" s="43" t="s">
        <v>109</v>
      </c>
      <c r="Y44" s="43" t="s">
        <v>109</v>
      </c>
      <c r="Z44" s="43" t="s">
        <v>109</v>
      </c>
      <c r="AA44" s="43" t="s">
        <v>109</v>
      </c>
      <c r="AB44" s="43" t="s">
        <v>109</v>
      </c>
      <c r="AC44" s="43" t="s">
        <v>109</v>
      </c>
      <c r="AD44" s="43" t="s">
        <v>109</v>
      </c>
      <c r="AE44" s="23">
        <f t="shared" si="5"/>
        <v>1</v>
      </c>
      <c r="AF44" s="23" t="e">
        <f t="shared" si="6"/>
        <v>#DIV/0!</v>
      </c>
      <c r="AG44" s="23">
        <f t="shared" si="7"/>
        <v>1</v>
      </c>
      <c r="AH44" s="10" t="e">
        <f t="shared" si="8"/>
        <v>#DIV/0!</v>
      </c>
      <c r="AI44" s="8">
        <f t="shared" si="9"/>
        <v>1</v>
      </c>
    </row>
    <row r="45" spans="1:37" ht="15" customHeight="1" thickBot="1">
      <c r="A45" s="54">
        <v>42</v>
      </c>
      <c r="B45" s="48" t="str">
        <f>'1.HAFTA'!B45</f>
        <v>Yusuf Can Nas</v>
      </c>
      <c r="C45" s="43" t="s">
        <v>109</v>
      </c>
      <c r="D45" s="86">
        <v>1</v>
      </c>
      <c r="E45" s="86">
        <v>1</v>
      </c>
      <c r="F45" s="86">
        <v>1</v>
      </c>
      <c r="G45" s="43">
        <v>1</v>
      </c>
      <c r="H45" s="43" t="s">
        <v>109</v>
      </c>
      <c r="I45" s="43" t="s">
        <v>109</v>
      </c>
      <c r="J45" s="86"/>
      <c r="K45" s="86"/>
      <c r="L45" s="86"/>
      <c r="M45" s="86"/>
      <c r="N45" s="86"/>
      <c r="O45" s="86"/>
      <c r="P45" s="86"/>
      <c r="Q45" s="86">
        <v>0</v>
      </c>
      <c r="R45" s="43" t="s">
        <v>109</v>
      </c>
      <c r="S45" s="43" t="s">
        <v>109</v>
      </c>
      <c r="T45" s="43">
        <v>1</v>
      </c>
      <c r="U45" s="43">
        <v>0</v>
      </c>
      <c r="V45" s="43" t="s">
        <v>109</v>
      </c>
      <c r="W45" s="43" t="s">
        <v>109</v>
      </c>
      <c r="X45" s="43" t="s">
        <v>109</v>
      </c>
      <c r="Y45" s="43" t="s">
        <v>109</v>
      </c>
      <c r="Z45" s="43" t="s">
        <v>109</v>
      </c>
      <c r="AA45" s="43">
        <v>1</v>
      </c>
      <c r="AB45" s="43" t="s">
        <v>109</v>
      </c>
      <c r="AC45" s="43" t="s">
        <v>109</v>
      </c>
      <c r="AD45" s="43" t="s">
        <v>109</v>
      </c>
      <c r="AE45" s="23">
        <f t="shared" si="5"/>
        <v>1</v>
      </c>
      <c r="AF45" s="23" t="e">
        <f t="shared" si="6"/>
        <v>#DIV/0!</v>
      </c>
      <c r="AG45" s="23">
        <f t="shared" si="7"/>
        <v>0.33333333333333331</v>
      </c>
      <c r="AH45" s="10">
        <f t="shared" si="8"/>
        <v>1</v>
      </c>
      <c r="AI45" s="8">
        <f t="shared" si="9"/>
        <v>0.7142857142857143</v>
      </c>
    </row>
    <row r="46" spans="1:37" ht="15" customHeight="1">
      <c r="A46" s="39">
        <v>43</v>
      </c>
      <c r="B46" s="49">
        <f>'1.HAFTA'!B46</f>
        <v>0</v>
      </c>
      <c r="C46" s="86"/>
      <c r="D46" s="86"/>
      <c r="E46" s="86"/>
      <c r="F46" s="86"/>
      <c r="G46" s="86"/>
      <c r="H46" s="43"/>
      <c r="I46" s="43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43"/>
      <c r="W46" s="43"/>
      <c r="X46" s="86"/>
      <c r="Y46" s="86"/>
      <c r="Z46" s="86"/>
      <c r="AA46" s="86"/>
      <c r="AB46" s="86"/>
      <c r="AC46" s="86"/>
      <c r="AD46" s="86"/>
      <c r="AE46" s="23" t="e">
        <f t="shared" si="5"/>
        <v>#DIV/0!</v>
      </c>
      <c r="AF46" s="23" t="e">
        <f t="shared" si="6"/>
        <v>#DIV/0!</v>
      </c>
      <c r="AG46" s="23" t="e">
        <f t="shared" si="7"/>
        <v>#DIV/0!</v>
      </c>
      <c r="AH46" s="10" t="e">
        <f t="shared" si="8"/>
        <v>#DIV/0!</v>
      </c>
      <c r="AI46" s="8" t="e">
        <f t="shared" si="9"/>
        <v>#DIV/0!</v>
      </c>
    </row>
    <row r="47" spans="1:37" ht="15" customHeight="1">
      <c r="A47" s="40">
        <v>44</v>
      </c>
      <c r="B47" s="48">
        <f>'1.HAFTA'!B47</f>
        <v>0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23" t="e">
        <f t="shared" si="5"/>
        <v>#DIV/0!</v>
      </c>
      <c r="AF47" s="23" t="e">
        <f t="shared" si="6"/>
        <v>#DIV/0!</v>
      </c>
      <c r="AG47" s="23" t="e">
        <f t="shared" si="7"/>
        <v>#DIV/0!</v>
      </c>
      <c r="AH47" s="10" t="e">
        <f t="shared" si="8"/>
        <v>#DIV/0!</v>
      </c>
      <c r="AI47" s="8" t="e">
        <f t="shared" si="9"/>
        <v>#DIV/0!</v>
      </c>
    </row>
    <row r="48" spans="1:37" ht="15" customHeight="1" thickBot="1">
      <c r="A48" s="54">
        <v>45</v>
      </c>
      <c r="B48" s="48">
        <f>'1.HAFTA'!B48</f>
        <v>0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23" t="e">
        <f t="shared" si="5"/>
        <v>#DIV/0!</v>
      </c>
      <c r="AF48" s="23" t="e">
        <f t="shared" si="6"/>
        <v>#DIV/0!</v>
      </c>
      <c r="AG48" s="23" t="e">
        <f t="shared" si="7"/>
        <v>#DIV/0!</v>
      </c>
      <c r="AH48" s="10" t="e">
        <f t="shared" si="8"/>
        <v>#DIV/0!</v>
      </c>
      <c r="AI48" s="8" t="e">
        <f t="shared" si="9"/>
        <v>#DIV/0!</v>
      </c>
    </row>
    <row r="49" spans="1:35" ht="15" customHeight="1">
      <c r="A49" s="39">
        <v>46</v>
      </c>
      <c r="B49" s="48">
        <f>'1.HAFTA'!B49</f>
        <v>0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23" t="e">
        <f t="shared" si="5"/>
        <v>#DIV/0!</v>
      </c>
      <c r="AF49" s="23" t="e">
        <f t="shared" si="6"/>
        <v>#DIV/0!</v>
      </c>
      <c r="AG49" s="23" t="e">
        <f t="shared" si="7"/>
        <v>#DIV/0!</v>
      </c>
      <c r="AH49" s="10" t="e">
        <f t="shared" si="8"/>
        <v>#DIV/0!</v>
      </c>
      <c r="AI49" s="8" t="e">
        <f t="shared" si="9"/>
        <v>#DIV/0!</v>
      </c>
    </row>
    <row r="50" spans="1:35" ht="15" customHeight="1">
      <c r="A50" s="40">
        <v>47</v>
      </c>
      <c r="B50" s="48">
        <f>'1.HAFTA'!B50</f>
        <v>0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23" t="e">
        <f t="shared" si="5"/>
        <v>#DIV/0!</v>
      </c>
      <c r="AF50" s="23" t="e">
        <f t="shared" si="6"/>
        <v>#DIV/0!</v>
      </c>
      <c r="AG50" s="23" t="e">
        <f t="shared" si="7"/>
        <v>#DIV/0!</v>
      </c>
      <c r="AH50" s="10" t="e">
        <f t="shared" si="8"/>
        <v>#DIV/0!</v>
      </c>
      <c r="AI50" s="8" t="e">
        <f t="shared" si="9"/>
        <v>#DIV/0!</v>
      </c>
    </row>
    <row r="51" spans="1:35" ht="15" customHeight="1" thickBot="1">
      <c r="A51" s="54">
        <v>48</v>
      </c>
      <c r="B51" s="48">
        <f>'1.HAFTA'!B51</f>
        <v>0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23" t="e">
        <f t="shared" si="5"/>
        <v>#DIV/0!</v>
      </c>
      <c r="AF51" s="23" t="e">
        <f t="shared" si="6"/>
        <v>#DIV/0!</v>
      </c>
      <c r="AG51" s="23" t="e">
        <f t="shared" si="7"/>
        <v>#DIV/0!</v>
      </c>
      <c r="AH51" s="10" t="e">
        <f t="shared" si="8"/>
        <v>#DIV/0!</v>
      </c>
      <c r="AI51" s="8" t="e">
        <f t="shared" si="9"/>
        <v>#DIV/0!</v>
      </c>
    </row>
    <row r="52" spans="1:35" ht="15" customHeight="1">
      <c r="A52" s="39">
        <v>49</v>
      </c>
      <c r="B52" s="48">
        <f>'1.HAFTA'!B52</f>
        <v>0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23" t="e">
        <f t="shared" si="5"/>
        <v>#DIV/0!</v>
      </c>
      <c r="AF52" s="23" t="e">
        <f t="shared" si="6"/>
        <v>#DIV/0!</v>
      </c>
      <c r="AG52" s="23" t="e">
        <f t="shared" si="7"/>
        <v>#DIV/0!</v>
      </c>
      <c r="AH52" s="10" t="e">
        <f t="shared" si="8"/>
        <v>#DIV/0!</v>
      </c>
      <c r="AI52" s="8" t="e">
        <f t="shared" si="9"/>
        <v>#DIV/0!</v>
      </c>
    </row>
    <row r="53" spans="1:35" ht="15" customHeight="1">
      <c r="A53" s="40">
        <v>50</v>
      </c>
      <c r="B53" s="48">
        <f>'1.HAFTA'!B53</f>
        <v>0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23" t="e">
        <f t="shared" si="5"/>
        <v>#DIV/0!</v>
      </c>
      <c r="AF53" s="23" t="e">
        <f t="shared" si="6"/>
        <v>#DIV/0!</v>
      </c>
      <c r="AG53" s="23" t="e">
        <f t="shared" si="7"/>
        <v>#DIV/0!</v>
      </c>
      <c r="AH53" s="10" t="e">
        <f t="shared" si="8"/>
        <v>#DIV/0!</v>
      </c>
      <c r="AI53" s="8" t="e">
        <f t="shared" si="9"/>
        <v>#DIV/0!</v>
      </c>
    </row>
    <row r="54" spans="1:35" ht="15" customHeight="1" thickBot="1">
      <c r="A54" s="54">
        <v>51</v>
      </c>
      <c r="B54" s="48">
        <f>'1.HAFTA'!B54</f>
        <v>0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23" t="e">
        <f t="shared" si="5"/>
        <v>#DIV/0!</v>
      </c>
      <c r="AF54" s="23" t="e">
        <f t="shared" si="6"/>
        <v>#DIV/0!</v>
      </c>
      <c r="AG54" s="23" t="e">
        <f t="shared" si="7"/>
        <v>#DIV/0!</v>
      </c>
      <c r="AH54" s="10" t="e">
        <f t="shared" si="8"/>
        <v>#DIV/0!</v>
      </c>
      <c r="AI54" s="8" t="e">
        <f t="shared" si="9"/>
        <v>#DIV/0!</v>
      </c>
    </row>
    <row r="55" spans="1:35" ht="15" customHeight="1">
      <c r="A55" s="39">
        <v>52</v>
      </c>
      <c r="B55" s="48">
        <f>'1.HAFTA'!B55</f>
        <v>0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23" t="e">
        <f t="shared" si="5"/>
        <v>#DIV/0!</v>
      </c>
      <c r="AF55" s="23" t="e">
        <f t="shared" si="6"/>
        <v>#DIV/0!</v>
      </c>
      <c r="AG55" s="23" t="e">
        <f t="shared" si="7"/>
        <v>#DIV/0!</v>
      </c>
      <c r="AH55" s="10" t="e">
        <f t="shared" si="8"/>
        <v>#DIV/0!</v>
      </c>
      <c r="AI55" s="8" t="e">
        <f t="shared" si="9"/>
        <v>#DIV/0!</v>
      </c>
    </row>
    <row r="56" spans="1:35" ht="15" customHeight="1">
      <c r="A56" s="40">
        <v>53</v>
      </c>
      <c r="B56" s="48">
        <f>'1.HAFTA'!B56</f>
        <v>0</v>
      </c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23" t="e">
        <f t="shared" si="5"/>
        <v>#DIV/0!</v>
      </c>
      <c r="AF56" s="23" t="e">
        <f t="shared" si="6"/>
        <v>#DIV/0!</v>
      </c>
      <c r="AG56" s="23" t="e">
        <f t="shared" si="7"/>
        <v>#DIV/0!</v>
      </c>
      <c r="AH56" s="10" t="e">
        <f t="shared" si="8"/>
        <v>#DIV/0!</v>
      </c>
      <c r="AI56" s="8" t="e">
        <f t="shared" si="9"/>
        <v>#DIV/0!</v>
      </c>
    </row>
    <row r="57" spans="1:35" ht="15" customHeight="1" thickBot="1">
      <c r="A57" s="54">
        <v>54</v>
      </c>
      <c r="B57" s="48">
        <f>'1.HAFTA'!B57</f>
        <v>0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23" t="e">
        <f t="shared" si="5"/>
        <v>#DIV/0!</v>
      </c>
      <c r="AF57" s="23" t="e">
        <f t="shared" si="6"/>
        <v>#DIV/0!</v>
      </c>
      <c r="AG57" s="23" t="e">
        <f t="shared" si="7"/>
        <v>#DIV/0!</v>
      </c>
      <c r="AH57" s="10" t="e">
        <f t="shared" si="8"/>
        <v>#DIV/0!</v>
      </c>
      <c r="AI57" s="8" t="e">
        <f t="shared" si="9"/>
        <v>#DIV/0!</v>
      </c>
    </row>
    <row r="58" spans="1:35" ht="15" customHeight="1">
      <c r="A58" s="39">
        <v>55</v>
      </c>
      <c r="B58" s="48">
        <f>'1.HAFTA'!B58</f>
        <v>0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23" t="e">
        <f t="shared" si="5"/>
        <v>#DIV/0!</v>
      </c>
      <c r="AF58" s="23" t="e">
        <f t="shared" si="6"/>
        <v>#DIV/0!</v>
      </c>
      <c r="AG58" s="23" t="e">
        <f t="shared" si="7"/>
        <v>#DIV/0!</v>
      </c>
      <c r="AH58" s="10" t="e">
        <f t="shared" si="8"/>
        <v>#DIV/0!</v>
      </c>
      <c r="AI58" s="8" t="e">
        <f t="shared" si="9"/>
        <v>#DIV/0!</v>
      </c>
    </row>
    <row r="59" spans="1:35" ht="15.75">
      <c r="A59" s="40">
        <v>56</v>
      </c>
      <c r="B59" s="48" t="str">
        <f>'1.HAFTA'!B59</f>
        <v xml:space="preserve"> 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23" t="e">
        <f t="shared" si="5"/>
        <v>#DIV/0!</v>
      </c>
      <c r="AF59" s="23" t="e">
        <f t="shared" ref="AF59" si="10">AVERAGE(J59:P59)</f>
        <v>#DIV/0!</v>
      </c>
      <c r="AG59" s="23" t="e">
        <f t="shared" ref="AG59:AG60" si="11">AVERAGE(Q59:W59)</f>
        <v>#DIV/0!</v>
      </c>
      <c r="AH59" s="10" t="e">
        <f t="shared" ref="AH59" si="12">AVERAGE(X59:AD59)</f>
        <v>#DIV/0!</v>
      </c>
      <c r="AI59" s="8" t="e">
        <f t="shared" ref="AI59:AI60" si="13">AVERAGE(C59:W59)</f>
        <v>#DIV/0!</v>
      </c>
    </row>
    <row r="60" spans="1:35" ht="15">
      <c r="Z60" s="22"/>
      <c r="AG60" s="1" t="e">
        <f t="shared" si="11"/>
        <v>#DIV/0!</v>
      </c>
      <c r="AI60" s="1" t="e">
        <f t="shared" si="13"/>
        <v>#DIV/0!</v>
      </c>
    </row>
  </sheetData>
  <mergeCells count="8">
    <mergeCell ref="A1:AD1"/>
    <mergeCell ref="AE1:AI1"/>
    <mergeCell ref="A2:B2"/>
    <mergeCell ref="C2:I2"/>
    <mergeCell ref="Q2:W2"/>
    <mergeCell ref="X2:AD2"/>
    <mergeCell ref="AE2:AI2"/>
    <mergeCell ref="J2:P2"/>
  </mergeCells>
  <conditionalFormatting sqref="C4:AD59">
    <cfRule type="cellIs" dxfId="50" priority="8" operator="equal">
      <formula>0</formula>
    </cfRule>
    <cfRule type="cellIs" dxfId="49" priority="9" operator="equal">
      <formula>"H"</formula>
    </cfRule>
    <cfRule type="cellIs" dxfId="48" priority="10" operator="equal">
      <formula>"i"</formula>
    </cfRule>
    <cfRule type="cellIs" dxfId="47" priority="11" operator="equal">
      <formula>"Y"</formula>
    </cfRule>
    <cfRule type="cellIs" dxfId="46" priority="12" operator="equal">
      <formula>"N"</formula>
    </cfRule>
    <cfRule type="cellIs" dxfId="45" priority="13" operator="equal">
      <formula>"İ"</formula>
    </cfRule>
    <cfRule type="cellIs" dxfId="44" priority="14" operator="equal">
      <formula>"N"</formula>
    </cfRule>
  </conditionalFormatting>
  <conditionalFormatting sqref="T4 H4:I5 I4:I58 Z4:Z58 AC4:AD58 H25:H58 N4:P4 AA4:AD45 U4:W58 C5:AD57">
    <cfRule type="containsText" dxfId="43" priority="2" operator="containsText" text="i">
      <formula>NOT(ISERROR(SEARCH("i",C4)))</formula>
    </cfRule>
  </conditionalFormatting>
  <conditionalFormatting sqref="T4 C5:AD56 I5:I58 AC5:AD58 H6:I57 H25:H58 AA4:AA45 U5:W58">
    <cfRule type="containsText" dxfId="42" priority="1" operator="containsText" text="y">
      <formula>NOT(ISERROR(SEARCH("y",C4)))</formula>
    </cfRule>
  </conditionalFormatting>
  <conditionalFormatting sqref="Z60 C4:AD59">
    <cfRule type="cellIs" dxfId="41" priority="15" operator="equal">
      <formula>"o"</formula>
    </cfRule>
  </conditionalFormatting>
  <conditionalFormatting sqref="Z60">
    <cfRule type="containsText" dxfId="40" priority="3" operator="containsText" text="i">
      <formula>NOT(ISERROR(SEARCH("i",Z60)))</formula>
    </cfRule>
    <cfRule type="cellIs" dxfId="39" priority="16" operator="equal">
      <formula>"İ"</formula>
    </cfRule>
    <cfRule type="cellIs" dxfId="38" priority="17" operator="equal">
      <formula>"N"</formula>
    </cfRule>
  </conditionalFormatting>
  <conditionalFormatting sqref="AE4">
    <cfRule type="cellIs" dxfId="37" priority="488" operator="equal">
      <formula>"İ"</formula>
    </cfRule>
    <cfRule type="cellIs" dxfId="36" priority="489" operator="equal">
      <formula>"N"</formula>
    </cfRule>
  </conditionalFormatting>
  <conditionalFormatting sqref="AE4:AI59">
    <cfRule type="cellIs" dxfId="35" priority="490" operator="between">
      <formula>0.85</formula>
      <formula>1</formula>
    </cfRule>
    <cfRule type="cellIs" dxfId="34" priority="491" operator="between">
      <formula>0.6</formula>
      <formula>0.85</formula>
    </cfRule>
    <cfRule type="cellIs" dxfId="33" priority="492" operator="between">
      <formula>0</formula>
      <formula>0.6</formula>
    </cfRule>
  </conditionalFormatting>
  <pageMargins left="0.11811023622047245" right="0.11811023622047245" top="0.74803149606299213" bottom="0.74803149606299213" header="0.31496062992125984" footer="0.31496062992125984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AM58"/>
  <sheetViews>
    <sheetView zoomScale="70" zoomScaleNormal="70" zoomScaleSheetLayoutView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O28" sqref="AO28"/>
    </sheetView>
  </sheetViews>
  <sheetFormatPr defaultColWidth="9.140625" defaultRowHeight="12.75"/>
  <cols>
    <col min="1" max="1" width="4.28515625" style="1" customWidth="1"/>
    <col min="2" max="2" width="26.28515625" style="2" customWidth="1"/>
    <col min="3" max="3" width="8.28515625" style="1" customWidth="1"/>
    <col min="4" max="9" width="8" style="1" customWidth="1"/>
    <col min="10" max="10" width="7.7109375" style="1" hidden="1" customWidth="1"/>
    <col min="11" max="12" width="8.7109375" style="1" hidden="1" customWidth="1"/>
    <col min="13" max="14" width="8.42578125" style="1" hidden="1" customWidth="1"/>
    <col min="15" max="16" width="7.7109375" style="1" hidden="1" customWidth="1"/>
    <col min="17" max="26" width="8" style="1" customWidth="1"/>
    <col min="27" max="30" width="8.140625" style="1" customWidth="1"/>
    <col min="31" max="31" width="7.28515625" style="1" customWidth="1"/>
    <col min="32" max="32" width="7.7109375" style="1" hidden="1" customWidth="1"/>
    <col min="33" max="34" width="7.85546875" style="1" customWidth="1"/>
    <col min="35" max="35" width="7.7109375" style="1" customWidth="1"/>
    <col min="36" max="37" width="9.140625" style="1"/>
    <col min="38" max="38" width="14.140625" style="1" bestFit="1" customWidth="1"/>
    <col min="39" max="39" width="20.7109375" style="1" customWidth="1"/>
    <col min="40" max="16384" width="9.140625" style="1"/>
  </cols>
  <sheetData>
    <row r="1" spans="1:39" ht="50.1" customHeight="1" thickBot="1">
      <c r="A1" s="113" t="str">
        <f>('1.HAFTA'!A1:AD1)</f>
        <v xml:space="preserve">         TALEBE TAKİP SİSTEMİ 2024-2025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8"/>
      <c r="AE1" s="93" t="str">
        <f>('1.HAFTA'!AE1:AI1)</f>
        <v>Amsterdam Saray</v>
      </c>
      <c r="AF1" s="94"/>
      <c r="AG1" s="94"/>
      <c r="AH1" s="94"/>
      <c r="AI1" s="95"/>
    </row>
    <row r="2" spans="1:39" ht="20.100000000000001" customHeight="1">
      <c r="A2" s="114" t="s">
        <v>24</v>
      </c>
      <c r="B2" s="115"/>
      <c r="C2" s="116" t="s">
        <v>12</v>
      </c>
      <c r="D2" s="117"/>
      <c r="E2" s="117"/>
      <c r="F2" s="117"/>
      <c r="G2" s="117"/>
      <c r="H2" s="117"/>
      <c r="I2" s="118"/>
      <c r="J2" s="110" t="s">
        <v>49</v>
      </c>
      <c r="K2" s="111"/>
      <c r="L2" s="111"/>
      <c r="M2" s="111"/>
      <c r="N2" s="111"/>
      <c r="O2" s="111"/>
      <c r="P2" s="112"/>
      <c r="Q2" s="103" t="s">
        <v>13</v>
      </c>
      <c r="R2" s="104"/>
      <c r="S2" s="104"/>
      <c r="T2" s="104"/>
      <c r="U2" s="104"/>
      <c r="V2" s="104"/>
      <c r="W2" s="104"/>
      <c r="X2" s="119" t="s">
        <v>52</v>
      </c>
      <c r="Y2" s="119"/>
      <c r="Z2" s="119"/>
      <c r="AA2" s="119"/>
      <c r="AB2" s="119"/>
      <c r="AC2" s="119"/>
      <c r="AD2" s="120"/>
      <c r="AE2" s="101" t="s">
        <v>29</v>
      </c>
      <c r="AF2" s="102"/>
      <c r="AG2" s="102"/>
      <c r="AH2" s="102"/>
      <c r="AI2" s="102"/>
    </row>
    <row r="3" spans="1:39" ht="20.100000000000001" customHeight="1">
      <c r="A3" s="5" t="s">
        <v>0</v>
      </c>
      <c r="B3" s="6" t="s">
        <v>1</v>
      </c>
      <c r="C3" s="82" t="s">
        <v>2</v>
      </c>
      <c r="D3" s="82" t="s">
        <v>5</v>
      </c>
      <c r="E3" s="82" t="s">
        <v>6</v>
      </c>
      <c r="F3" s="82" t="s">
        <v>7</v>
      </c>
      <c r="G3" s="82" t="s">
        <v>8</v>
      </c>
      <c r="H3" s="82" t="s">
        <v>27</v>
      </c>
      <c r="I3" s="83" t="s">
        <v>11</v>
      </c>
      <c r="J3" s="41" t="s">
        <v>2</v>
      </c>
      <c r="K3" s="41" t="s">
        <v>5</v>
      </c>
      <c r="L3" s="41" t="s">
        <v>6</v>
      </c>
      <c r="M3" s="41" t="s">
        <v>7</v>
      </c>
      <c r="N3" s="41" t="s">
        <v>8</v>
      </c>
      <c r="O3" s="41" t="s">
        <v>27</v>
      </c>
      <c r="P3" s="42" t="s">
        <v>11</v>
      </c>
      <c r="Q3" s="7" t="s">
        <v>2</v>
      </c>
      <c r="R3" s="7" t="s">
        <v>5</v>
      </c>
      <c r="S3" s="7" t="s">
        <v>6</v>
      </c>
      <c r="T3" s="7" t="s">
        <v>7</v>
      </c>
      <c r="U3" s="7" t="s">
        <v>8</v>
      </c>
      <c r="V3" s="14" t="s">
        <v>27</v>
      </c>
      <c r="W3" s="14" t="s">
        <v>11</v>
      </c>
      <c r="X3" s="24" t="s">
        <v>2</v>
      </c>
      <c r="Y3" s="24" t="s">
        <v>5</v>
      </c>
      <c r="Z3" s="24" t="s">
        <v>6</v>
      </c>
      <c r="AA3" s="24" t="s">
        <v>7</v>
      </c>
      <c r="AB3" s="25" t="s">
        <v>8</v>
      </c>
      <c r="AC3" s="25" t="s">
        <v>27</v>
      </c>
      <c r="AD3" s="25" t="s">
        <v>11</v>
      </c>
      <c r="AE3" s="9" t="s">
        <v>3</v>
      </c>
      <c r="AF3" s="9" t="s">
        <v>41</v>
      </c>
      <c r="AG3" s="9" t="s">
        <v>4</v>
      </c>
      <c r="AH3" s="24" t="s">
        <v>52</v>
      </c>
      <c r="AI3" s="26" t="s">
        <v>9</v>
      </c>
    </row>
    <row r="4" spans="1:39" ht="15" customHeight="1">
      <c r="A4" s="4">
        <v>1</v>
      </c>
      <c r="B4" s="85" t="str">
        <f>'1.HAFTA'!B4</f>
        <v>Abdullah Koşar</v>
      </c>
      <c r="C4" s="43" t="s">
        <v>109</v>
      </c>
      <c r="D4" s="43">
        <v>0</v>
      </c>
      <c r="E4" s="43" t="s">
        <v>109</v>
      </c>
      <c r="F4" s="43" t="s">
        <v>109</v>
      </c>
      <c r="G4" s="43">
        <v>0</v>
      </c>
      <c r="H4" s="43" t="s">
        <v>109</v>
      </c>
      <c r="I4" s="43" t="s">
        <v>109</v>
      </c>
      <c r="J4" s="43"/>
      <c r="K4" s="43"/>
      <c r="L4" s="43"/>
      <c r="M4" s="43"/>
      <c r="N4" s="43"/>
      <c r="O4" s="43"/>
      <c r="P4" s="43"/>
      <c r="Q4" s="43">
        <v>0</v>
      </c>
      <c r="R4" s="43">
        <v>0</v>
      </c>
      <c r="S4" s="43">
        <v>0</v>
      </c>
      <c r="T4" s="43">
        <v>0</v>
      </c>
      <c r="U4" s="43" t="s">
        <v>109</v>
      </c>
      <c r="V4" s="43" t="s">
        <v>109</v>
      </c>
      <c r="W4" s="43" t="s">
        <v>109</v>
      </c>
      <c r="X4" s="43" t="s">
        <v>109</v>
      </c>
      <c r="Y4" s="43" t="s">
        <v>109</v>
      </c>
      <c r="Z4" s="43">
        <v>0</v>
      </c>
      <c r="AA4" s="43">
        <v>0</v>
      </c>
      <c r="AB4" s="43" t="s">
        <v>109</v>
      </c>
      <c r="AC4" s="43" t="s">
        <v>109</v>
      </c>
      <c r="AD4" s="43" t="s">
        <v>109</v>
      </c>
      <c r="AE4" s="23">
        <f t="shared" ref="AE4:AE33" si="0">AVERAGE(C4:I4)</f>
        <v>0</v>
      </c>
      <c r="AF4" s="23" t="e">
        <f>AVERAGE(J4:P4)</f>
        <v>#DIV/0!</v>
      </c>
      <c r="AG4" s="10">
        <f>AVERAGE(Q4:W4)</f>
        <v>0</v>
      </c>
      <c r="AH4" s="10">
        <f>AVERAGE(X4:AD4)</f>
        <v>0</v>
      </c>
      <c r="AI4" s="8">
        <f>AVERAGE(C4:W4)</f>
        <v>0</v>
      </c>
    </row>
    <row r="5" spans="1:39" ht="15" customHeight="1">
      <c r="A5" s="3">
        <v>2</v>
      </c>
      <c r="B5" s="85" t="str">
        <f>'1.HAFTA'!B5</f>
        <v>Ahmet Arif Ozmen</v>
      </c>
      <c r="C5" s="43" t="s">
        <v>109</v>
      </c>
      <c r="D5" s="43" t="s">
        <v>109</v>
      </c>
      <c r="E5" s="43" t="s">
        <v>109</v>
      </c>
      <c r="F5" s="43" t="s">
        <v>109</v>
      </c>
      <c r="G5" s="43" t="s">
        <v>109</v>
      </c>
      <c r="H5" s="43" t="s">
        <v>109</v>
      </c>
      <c r="I5" s="43" t="s">
        <v>109</v>
      </c>
      <c r="J5" s="43"/>
      <c r="K5" s="43"/>
      <c r="L5" s="43"/>
      <c r="M5" s="43"/>
      <c r="N5" s="43"/>
      <c r="O5" s="43"/>
      <c r="P5" s="43"/>
      <c r="Q5" s="43" t="s">
        <v>109</v>
      </c>
      <c r="R5" s="43">
        <v>1</v>
      </c>
      <c r="S5" s="43" t="s">
        <v>109</v>
      </c>
      <c r="T5" s="43">
        <v>1</v>
      </c>
      <c r="U5" s="43" t="s">
        <v>109</v>
      </c>
      <c r="V5" s="43" t="s">
        <v>109</v>
      </c>
      <c r="W5" s="43" t="s">
        <v>109</v>
      </c>
      <c r="X5" s="43" t="s">
        <v>109</v>
      </c>
      <c r="Y5" s="43" t="s">
        <v>109</v>
      </c>
      <c r="Z5" s="43" t="s">
        <v>109</v>
      </c>
      <c r="AA5" s="43">
        <v>1</v>
      </c>
      <c r="AB5" s="43" t="s">
        <v>109</v>
      </c>
      <c r="AC5" s="43" t="s">
        <v>109</v>
      </c>
      <c r="AD5" s="43" t="s">
        <v>109</v>
      </c>
      <c r="AE5" s="23" t="e">
        <f t="shared" si="0"/>
        <v>#DIV/0!</v>
      </c>
      <c r="AF5" s="23" t="e">
        <f t="shared" ref="AF5:AF57" si="1">AVERAGE(J5:P5)</f>
        <v>#DIV/0!</v>
      </c>
      <c r="AG5" s="10">
        <f t="shared" ref="AG5:AG57" si="2">AVERAGE(Q5:W5)</f>
        <v>1</v>
      </c>
      <c r="AH5" s="10">
        <f t="shared" ref="AH5:AH57" si="3">AVERAGE(X5:AD5)</f>
        <v>1</v>
      </c>
      <c r="AI5" s="8">
        <f t="shared" ref="AI5:AI57" si="4">AVERAGE(C5:W5)</f>
        <v>1</v>
      </c>
      <c r="AL5" s="77">
        <v>45733</v>
      </c>
      <c r="AM5" s="75">
        <v>45739</v>
      </c>
    </row>
    <row r="6" spans="1:39" ht="15" customHeight="1" thickBot="1">
      <c r="A6" s="59">
        <v>3</v>
      </c>
      <c r="B6" s="85" t="str">
        <f>'1.HAFTA'!B6</f>
        <v>Alihan Uysal</v>
      </c>
      <c r="C6" s="43" t="s">
        <v>109</v>
      </c>
      <c r="D6" s="43">
        <v>0</v>
      </c>
      <c r="E6" s="43" t="s">
        <v>109</v>
      </c>
      <c r="F6" s="43" t="s">
        <v>109</v>
      </c>
      <c r="G6" s="43" t="s">
        <v>113</v>
      </c>
      <c r="H6" s="43" t="s">
        <v>109</v>
      </c>
      <c r="I6" s="43" t="s">
        <v>109</v>
      </c>
      <c r="J6" s="43"/>
      <c r="K6" s="43"/>
      <c r="L6" s="43"/>
      <c r="M6" s="43"/>
      <c r="N6" s="43"/>
      <c r="O6" s="43"/>
      <c r="P6" s="43"/>
      <c r="Q6" s="43">
        <v>0</v>
      </c>
      <c r="R6" s="43">
        <v>0</v>
      </c>
      <c r="S6" s="43">
        <v>0</v>
      </c>
      <c r="T6" s="43">
        <v>1</v>
      </c>
      <c r="U6" s="43" t="s">
        <v>109</v>
      </c>
      <c r="V6" s="43" t="s">
        <v>109</v>
      </c>
      <c r="W6" s="43" t="s">
        <v>109</v>
      </c>
      <c r="X6" s="43" t="s">
        <v>109</v>
      </c>
      <c r="Y6" s="43" t="s">
        <v>109</v>
      </c>
      <c r="Z6" s="43">
        <v>0</v>
      </c>
      <c r="AA6" s="43">
        <v>1</v>
      </c>
      <c r="AB6" s="43" t="s">
        <v>109</v>
      </c>
      <c r="AC6" s="43" t="s">
        <v>109</v>
      </c>
      <c r="AD6" s="43" t="s">
        <v>109</v>
      </c>
      <c r="AE6" s="23">
        <f t="shared" si="0"/>
        <v>0</v>
      </c>
      <c r="AF6" s="23" t="e">
        <f t="shared" si="1"/>
        <v>#DIV/0!</v>
      </c>
      <c r="AG6" s="10">
        <f t="shared" si="2"/>
        <v>0.25</v>
      </c>
      <c r="AH6" s="10">
        <f t="shared" si="3"/>
        <v>0.5</v>
      </c>
      <c r="AI6" s="8">
        <f t="shared" si="4"/>
        <v>0.2</v>
      </c>
    </row>
    <row r="7" spans="1:39" ht="15" customHeight="1">
      <c r="A7" s="4">
        <v>4</v>
      </c>
      <c r="B7" s="85" t="str">
        <f>'1.HAFTA'!B7</f>
        <v>Ammaar Ahmad</v>
      </c>
      <c r="C7" s="43" t="s">
        <v>109</v>
      </c>
      <c r="D7" s="43">
        <v>1</v>
      </c>
      <c r="E7" s="43">
        <v>1</v>
      </c>
      <c r="F7" s="43" t="s">
        <v>109</v>
      </c>
      <c r="G7" s="43">
        <v>1</v>
      </c>
      <c r="H7" s="43" t="s">
        <v>109</v>
      </c>
      <c r="I7" s="43" t="s">
        <v>109</v>
      </c>
      <c r="J7" s="43"/>
      <c r="K7" s="43"/>
      <c r="L7" s="43"/>
      <c r="M7" s="43"/>
      <c r="N7" s="43"/>
      <c r="O7" s="43"/>
      <c r="P7" s="43"/>
      <c r="Q7" s="43">
        <v>1</v>
      </c>
      <c r="R7" s="43">
        <v>1</v>
      </c>
      <c r="S7" s="43">
        <v>1</v>
      </c>
      <c r="T7" s="43">
        <v>1</v>
      </c>
      <c r="U7" s="43" t="s">
        <v>109</v>
      </c>
      <c r="V7" s="43" t="s">
        <v>109</v>
      </c>
      <c r="W7" s="43" t="s">
        <v>109</v>
      </c>
      <c r="X7" s="43" t="s">
        <v>109</v>
      </c>
      <c r="Y7" s="43" t="s">
        <v>109</v>
      </c>
      <c r="Z7" s="43">
        <v>1</v>
      </c>
      <c r="AA7" s="43">
        <v>1</v>
      </c>
      <c r="AB7" s="43" t="s">
        <v>109</v>
      </c>
      <c r="AC7" s="43" t="s">
        <v>109</v>
      </c>
      <c r="AD7" s="43" t="s">
        <v>109</v>
      </c>
      <c r="AE7" s="23">
        <f t="shared" si="0"/>
        <v>1</v>
      </c>
      <c r="AF7" s="23" t="e">
        <f t="shared" si="1"/>
        <v>#DIV/0!</v>
      </c>
      <c r="AG7" s="10">
        <f t="shared" si="2"/>
        <v>1</v>
      </c>
      <c r="AH7" s="10">
        <f t="shared" si="3"/>
        <v>1</v>
      </c>
      <c r="AI7" s="8">
        <f t="shared" si="4"/>
        <v>1</v>
      </c>
    </row>
    <row r="8" spans="1:39" ht="15" customHeight="1">
      <c r="A8" s="3">
        <v>5</v>
      </c>
      <c r="B8" s="85" t="str">
        <f>'1.HAFTA'!B8</f>
        <v>Ekrem Altıntaş</v>
      </c>
      <c r="C8" s="43" t="s">
        <v>109</v>
      </c>
      <c r="D8" s="43">
        <v>0</v>
      </c>
      <c r="E8" s="43" t="s">
        <v>109</v>
      </c>
      <c r="F8" s="43" t="s">
        <v>109</v>
      </c>
      <c r="G8" s="43">
        <v>0</v>
      </c>
      <c r="H8" s="43" t="s">
        <v>109</v>
      </c>
      <c r="I8" s="43" t="s">
        <v>109</v>
      </c>
      <c r="J8" s="43"/>
      <c r="K8" s="43"/>
      <c r="L8" s="43"/>
      <c r="M8" s="43"/>
      <c r="N8" s="43"/>
      <c r="O8" s="43"/>
      <c r="P8" s="43"/>
      <c r="Q8" s="43">
        <v>1</v>
      </c>
      <c r="R8" s="43">
        <v>0</v>
      </c>
      <c r="S8" s="43">
        <v>0</v>
      </c>
      <c r="T8" s="43">
        <v>1</v>
      </c>
      <c r="U8" s="43" t="s">
        <v>109</v>
      </c>
      <c r="V8" s="43" t="s">
        <v>109</v>
      </c>
      <c r="W8" s="43" t="s">
        <v>109</v>
      </c>
      <c r="X8" s="43" t="s">
        <v>109</v>
      </c>
      <c r="Y8" s="43" t="s">
        <v>109</v>
      </c>
      <c r="Z8" s="43">
        <v>0</v>
      </c>
      <c r="AA8" s="43">
        <v>1</v>
      </c>
      <c r="AB8" s="43" t="s">
        <v>109</v>
      </c>
      <c r="AC8" s="43" t="s">
        <v>109</v>
      </c>
      <c r="AD8" s="43" t="s">
        <v>109</v>
      </c>
      <c r="AE8" s="23">
        <f t="shared" si="0"/>
        <v>0</v>
      </c>
      <c r="AF8" s="23" t="e">
        <f t="shared" si="1"/>
        <v>#DIV/0!</v>
      </c>
      <c r="AG8" s="10">
        <f t="shared" si="2"/>
        <v>0.5</v>
      </c>
      <c r="AH8" s="10">
        <f t="shared" si="3"/>
        <v>0.5</v>
      </c>
      <c r="AI8" s="8">
        <f t="shared" si="4"/>
        <v>0.33333333333333331</v>
      </c>
    </row>
    <row r="9" spans="1:39" ht="15" customHeight="1" thickBot="1">
      <c r="A9" s="59">
        <v>6</v>
      </c>
      <c r="B9" s="85" t="str">
        <f>'1.HAFTA'!B9</f>
        <v>Emirhan Sak</v>
      </c>
      <c r="C9" s="43" t="s">
        <v>109</v>
      </c>
      <c r="D9" s="43" t="s">
        <v>109</v>
      </c>
      <c r="E9" s="43" t="s">
        <v>109</v>
      </c>
      <c r="F9" s="43" t="s">
        <v>109</v>
      </c>
      <c r="G9" s="43">
        <v>0</v>
      </c>
      <c r="H9" s="43" t="s">
        <v>109</v>
      </c>
      <c r="I9" s="43" t="s">
        <v>109</v>
      </c>
      <c r="J9" s="43"/>
      <c r="K9" s="43"/>
      <c r="L9" s="43"/>
      <c r="M9" s="43"/>
      <c r="N9" s="43"/>
      <c r="O9" s="43"/>
      <c r="P9" s="43"/>
      <c r="Q9" s="43" t="s">
        <v>109</v>
      </c>
      <c r="R9" s="43">
        <v>1</v>
      </c>
      <c r="S9" s="43">
        <v>1</v>
      </c>
      <c r="T9" s="43">
        <v>1</v>
      </c>
      <c r="U9" s="43" t="s">
        <v>109</v>
      </c>
      <c r="V9" s="43" t="s">
        <v>109</v>
      </c>
      <c r="W9" s="43" t="s">
        <v>109</v>
      </c>
      <c r="X9" s="43" t="s">
        <v>109</v>
      </c>
      <c r="Y9" s="43" t="s">
        <v>109</v>
      </c>
      <c r="Z9" s="43">
        <v>1</v>
      </c>
      <c r="AA9" s="43">
        <v>1</v>
      </c>
      <c r="AB9" s="43" t="s">
        <v>109</v>
      </c>
      <c r="AC9" s="43" t="s">
        <v>109</v>
      </c>
      <c r="AD9" s="43" t="s">
        <v>109</v>
      </c>
      <c r="AE9" s="23">
        <f t="shared" si="0"/>
        <v>0</v>
      </c>
      <c r="AF9" s="23" t="e">
        <f t="shared" si="1"/>
        <v>#DIV/0!</v>
      </c>
      <c r="AG9" s="10">
        <f t="shared" si="2"/>
        <v>1</v>
      </c>
      <c r="AH9" s="10">
        <f t="shared" si="3"/>
        <v>1</v>
      </c>
      <c r="AI9" s="8">
        <f t="shared" si="4"/>
        <v>0.75</v>
      </c>
    </row>
    <row r="10" spans="1:39" ht="15" customHeight="1">
      <c r="A10" s="4">
        <v>7</v>
      </c>
      <c r="B10" s="85" t="str">
        <f>'1.HAFTA'!B10</f>
        <v>Eymen Göğebakan</v>
      </c>
      <c r="C10" s="43" t="s">
        <v>109</v>
      </c>
      <c r="D10" s="43">
        <v>1</v>
      </c>
      <c r="E10" s="43">
        <v>1</v>
      </c>
      <c r="F10" s="43" t="s">
        <v>109</v>
      </c>
      <c r="G10" s="43">
        <v>1</v>
      </c>
      <c r="H10" s="43" t="s">
        <v>109</v>
      </c>
      <c r="I10" s="43" t="s">
        <v>109</v>
      </c>
      <c r="J10" s="43"/>
      <c r="K10" s="43"/>
      <c r="L10" s="43"/>
      <c r="M10" s="43"/>
      <c r="N10" s="43"/>
      <c r="O10" s="43"/>
      <c r="P10" s="43"/>
      <c r="Q10" s="43">
        <v>0</v>
      </c>
      <c r="R10" s="43">
        <v>1</v>
      </c>
      <c r="S10" s="43">
        <v>1</v>
      </c>
      <c r="T10" s="43">
        <v>1</v>
      </c>
      <c r="U10" s="43" t="s">
        <v>109</v>
      </c>
      <c r="V10" s="43" t="s">
        <v>109</v>
      </c>
      <c r="W10" s="43" t="s">
        <v>109</v>
      </c>
      <c r="X10" s="43" t="s">
        <v>109</v>
      </c>
      <c r="Y10" s="43" t="s">
        <v>109</v>
      </c>
      <c r="Z10" s="43">
        <v>1</v>
      </c>
      <c r="AA10" s="43">
        <v>1</v>
      </c>
      <c r="AB10" s="43" t="s">
        <v>109</v>
      </c>
      <c r="AC10" s="43" t="s">
        <v>109</v>
      </c>
      <c r="AD10" s="43" t="s">
        <v>109</v>
      </c>
      <c r="AE10" s="23">
        <f t="shared" si="0"/>
        <v>1</v>
      </c>
      <c r="AF10" s="23" t="e">
        <f t="shared" si="1"/>
        <v>#DIV/0!</v>
      </c>
      <c r="AG10" s="10">
        <f t="shared" si="2"/>
        <v>0.75</v>
      </c>
      <c r="AH10" s="10">
        <f t="shared" si="3"/>
        <v>1</v>
      </c>
      <c r="AI10" s="8">
        <f t="shared" si="4"/>
        <v>0.8571428571428571</v>
      </c>
    </row>
    <row r="11" spans="1:39" ht="15" customHeight="1">
      <c r="A11" s="3">
        <v>8</v>
      </c>
      <c r="B11" s="85" t="str">
        <f>'1.HAFTA'!B11</f>
        <v>Mehmet Sak</v>
      </c>
      <c r="C11" s="43" t="s">
        <v>109</v>
      </c>
      <c r="D11" s="43">
        <v>1</v>
      </c>
      <c r="E11" s="43">
        <v>1</v>
      </c>
      <c r="F11" s="43" t="s">
        <v>109</v>
      </c>
      <c r="G11" s="43">
        <v>1</v>
      </c>
      <c r="H11" s="43" t="s">
        <v>109</v>
      </c>
      <c r="I11" s="43" t="s">
        <v>109</v>
      </c>
      <c r="J11" s="43"/>
      <c r="K11" s="43"/>
      <c r="L11" s="43"/>
      <c r="M11" s="43"/>
      <c r="N11" s="43"/>
      <c r="O11" s="43"/>
      <c r="P11" s="43"/>
      <c r="Q11" s="43">
        <v>1</v>
      </c>
      <c r="R11" s="43">
        <v>1</v>
      </c>
      <c r="S11" s="43">
        <v>1</v>
      </c>
      <c r="T11" s="43">
        <v>1</v>
      </c>
      <c r="U11" s="43" t="s">
        <v>109</v>
      </c>
      <c r="V11" s="43" t="s">
        <v>109</v>
      </c>
      <c r="W11" s="43" t="s">
        <v>109</v>
      </c>
      <c r="X11" s="43" t="s">
        <v>109</v>
      </c>
      <c r="Y11" s="43" t="s">
        <v>109</v>
      </c>
      <c r="Z11" s="43">
        <v>1</v>
      </c>
      <c r="AA11" s="43">
        <v>1</v>
      </c>
      <c r="AB11" s="43" t="s">
        <v>109</v>
      </c>
      <c r="AC11" s="43" t="s">
        <v>109</v>
      </c>
      <c r="AD11" s="43" t="s">
        <v>109</v>
      </c>
      <c r="AE11" s="23">
        <f t="shared" si="0"/>
        <v>1</v>
      </c>
      <c r="AF11" s="23" t="e">
        <f t="shared" si="1"/>
        <v>#DIV/0!</v>
      </c>
      <c r="AG11" s="10">
        <f t="shared" si="2"/>
        <v>1</v>
      </c>
      <c r="AH11" s="10">
        <f t="shared" si="3"/>
        <v>1</v>
      </c>
      <c r="AI11" s="8">
        <f t="shared" si="4"/>
        <v>1</v>
      </c>
    </row>
    <row r="12" spans="1:39" ht="15" customHeight="1" thickBot="1">
      <c r="A12" s="59">
        <v>9</v>
      </c>
      <c r="B12" s="85" t="str">
        <f>'1.HAFTA'!B12</f>
        <v>Mohammed Abdi Hakim</v>
      </c>
      <c r="C12" s="43" t="s">
        <v>109</v>
      </c>
      <c r="D12" s="43">
        <v>1</v>
      </c>
      <c r="E12" s="43" t="s">
        <v>109</v>
      </c>
      <c r="F12" s="43" t="s">
        <v>109</v>
      </c>
      <c r="G12" s="43">
        <v>1</v>
      </c>
      <c r="H12" s="43" t="s">
        <v>109</v>
      </c>
      <c r="I12" s="43" t="s">
        <v>109</v>
      </c>
      <c r="J12" s="43"/>
      <c r="K12" s="43"/>
      <c r="L12" s="43"/>
      <c r="M12" s="43"/>
      <c r="N12" s="43"/>
      <c r="O12" s="43"/>
      <c r="P12" s="43"/>
      <c r="Q12" s="43">
        <v>1</v>
      </c>
      <c r="R12" s="43">
        <v>0</v>
      </c>
      <c r="S12" s="43">
        <v>0</v>
      </c>
      <c r="T12" s="43">
        <v>0</v>
      </c>
      <c r="U12" s="43" t="s">
        <v>109</v>
      </c>
      <c r="V12" s="43" t="s">
        <v>109</v>
      </c>
      <c r="W12" s="43" t="s">
        <v>109</v>
      </c>
      <c r="X12" s="43" t="s">
        <v>109</v>
      </c>
      <c r="Y12" s="43" t="s">
        <v>109</v>
      </c>
      <c r="Z12" s="43">
        <v>1</v>
      </c>
      <c r="AA12" s="43">
        <v>1</v>
      </c>
      <c r="AB12" s="43" t="s">
        <v>109</v>
      </c>
      <c r="AC12" s="43" t="s">
        <v>109</v>
      </c>
      <c r="AD12" s="43" t="s">
        <v>109</v>
      </c>
      <c r="AE12" s="23">
        <f t="shared" si="0"/>
        <v>1</v>
      </c>
      <c r="AF12" s="23" t="e">
        <f t="shared" si="1"/>
        <v>#DIV/0!</v>
      </c>
      <c r="AG12" s="10">
        <f t="shared" si="2"/>
        <v>0.25</v>
      </c>
      <c r="AH12" s="10">
        <f t="shared" si="3"/>
        <v>1</v>
      </c>
      <c r="AI12" s="8">
        <f t="shared" si="4"/>
        <v>0.5</v>
      </c>
    </row>
    <row r="13" spans="1:39" ht="15" customHeight="1">
      <c r="A13" s="4">
        <v>10</v>
      </c>
      <c r="B13" s="85" t="str">
        <f>'1.HAFTA'!B13</f>
        <v>Rıdvan Sönmez</v>
      </c>
      <c r="C13" s="43" t="s">
        <v>109</v>
      </c>
      <c r="D13" s="43">
        <v>1</v>
      </c>
      <c r="E13" s="43">
        <v>1</v>
      </c>
      <c r="F13" s="43" t="s">
        <v>109</v>
      </c>
      <c r="G13" s="43" t="s">
        <v>109</v>
      </c>
      <c r="H13" s="43" t="s">
        <v>109</v>
      </c>
      <c r="I13" s="43" t="s">
        <v>109</v>
      </c>
      <c r="J13" s="43"/>
      <c r="K13" s="43"/>
      <c r="L13" s="43"/>
      <c r="M13" s="43"/>
      <c r="N13" s="43"/>
      <c r="O13" s="43"/>
      <c r="P13" s="43"/>
      <c r="Q13" s="43">
        <v>1</v>
      </c>
      <c r="R13" s="43">
        <v>1</v>
      </c>
      <c r="S13" s="43">
        <v>1</v>
      </c>
      <c r="T13" s="43" t="s">
        <v>109</v>
      </c>
      <c r="U13" s="43" t="s">
        <v>109</v>
      </c>
      <c r="V13" s="43" t="s">
        <v>109</v>
      </c>
      <c r="W13" s="43" t="s">
        <v>109</v>
      </c>
      <c r="X13" s="43" t="s">
        <v>109</v>
      </c>
      <c r="Y13" s="43" t="s">
        <v>109</v>
      </c>
      <c r="Z13" s="43">
        <v>1</v>
      </c>
      <c r="AA13" s="43" t="s">
        <v>109</v>
      </c>
      <c r="AB13" s="43" t="s">
        <v>109</v>
      </c>
      <c r="AC13" s="43" t="s">
        <v>109</v>
      </c>
      <c r="AD13" s="43" t="s">
        <v>109</v>
      </c>
      <c r="AE13" s="23">
        <f t="shared" si="0"/>
        <v>1</v>
      </c>
      <c r="AF13" s="23" t="e">
        <f t="shared" si="1"/>
        <v>#DIV/0!</v>
      </c>
      <c r="AG13" s="10">
        <f t="shared" si="2"/>
        <v>1</v>
      </c>
      <c r="AH13" s="10">
        <f t="shared" si="3"/>
        <v>1</v>
      </c>
      <c r="AI13" s="8">
        <f t="shared" si="4"/>
        <v>1</v>
      </c>
    </row>
    <row r="14" spans="1:39" ht="15" customHeight="1">
      <c r="A14" s="3">
        <v>11</v>
      </c>
      <c r="B14" s="85" t="str">
        <f>'1.HAFTA'!B14</f>
        <v>Tayyip Sönmez</v>
      </c>
      <c r="C14" s="43" t="s">
        <v>109</v>
      </c>
      <c r="D14" s="43" t="s">
        <v>109</v>
      </c>
      <c r="E14" s="43" t="s">
        <v>109</v>
      </c>
      <c r="F14" s="43" t="s">
        <v>109</v>
      </c>
      <c r="G14" s="43" t="s">
        <v>109</v>
      </c>
      <c r="H14" s="43" t="s">
        <v>109</v>
      </c>
      <c r="I14" s="43" t="s">
        <v>109</v>
      </c>
      <c r="J14" s="43"/>
      <c r="K14" s="43"/>
      <c r="L14" s="43"/>
      <c r="M14" s="43"/>
      <c r="N14" s="43"/>
      <c r="O14" s="43"/>
      <c r="P14" s="43"/>
      <c r="Q14" s="43" t="s">
        <v>109</v>
      </c>
      <c r="R14" s="43" t="s">
        <v>109</v>
      </c>
      <c r="S14" s="43" t="s">
        <v>109</v>
      </c>
      <c r="T14" s="43" t="s">
        <v>109</v>
      </c>
      <c r="U14" s="43" t="s">
        <v>109</v>
      </c>
      <c r="V14" s="43" t="s">
        <v>109</v>
      </c>
      <c r="W14" s="43" t="s">
        <v>109</v>
      </c>
      <c r="X14" s="43" t="s">
        <v>109</v>
      </c>
      <c r="Y14" s="43" t="s">
        <v>109</v>
      </c>
      <c r="Z14" s="43" t="s">
        <v>109</v>
      </c>
      <c r="AA14" s="43" t="s">
        <v>109</v>
      </c>
      <c r="AB14" s="43" t="s">
        <v>109</v>
      </c>
      <c r="AC14" s="43" t="s">
        <v>109</v>
      </c>
      <c r="AD14" s="43" t="s">
        <v>109</v>
      </c>
      <c r="AE14" s="23" t="e">
        <f t="shared" si="0"/>
        <v>#DIV/0!</v>
      </c>
      <c r="AF14" s="23" t="e">
        <f t="shared" si="1"/>
        <v>#DIV/0!</v>
      </c>
      <c r="AG14" s="10" t="e">
        <f t="shared" si="2"/>
        <v>#DIV/0!</v>
      </c>
      <c r="AH14" s="10" t="e">
        <f t="shared" si="3"/>
        <v>#DIV/0!</v>
      </c>
      <c r="AI14" s="8" t="e">
        <f t="shared" si="4"/>
        <v>#DIV/0!</v>
      </c>
    </row>
    <row r="15" spans="1:39" ht="15" customHeight="1" thickBot="1">
      <c r="A15" s="59">
        <v>12</v>
      </c>
      <c r="B15" s="85" t="str">
        <f>'1.HAFTA'!B15</f>
        <v>Waffi Talib</v>
      </c>
      <c r="C15" s="43" t="s">
        <v>109</v>
      </c>
      <c r="D15" s="43" t="s">
        <v>109</v>
      </c>
      <c r="E15" s="43" t="s">
        <v>109</v>
      </c>
      <c r="F15" s="43" t="s">
        <v>109</v>
      </c>
      <c r="G15" s="43">
        <v>1</v>
      </c>
      <c r="H15" s="43" t="s">
        <v>109</v>
      </c>
      <c r="I15" s="43" t="s">
        <v>109</v>
      </c>
      <c r="J15" s="43"/>
      <c r="K15" s="43"/>
      <c r="L15" s="43"/>
      <c r="M15" s="43"/>
      <c r="N15" s="43"/>
      <c r="O15" s="43"/>
      <c r="P15" s="43"/>
      <c r="Q15" s="43" t="s">
        <v>109</v>
      </c>
      <c r="R15" s="43" t="s">
        <v>109</v>
      </c>
      <c r="S15" s="43">
        <v>0</v>
      </c>
      <c r="T15" s="43" t="s">
        <v>109</v>
      </c>
      <c r="U15" s="43" t="s">
        <v>109</v>
      </c>
      <c r="V15" s="43" t="s">
        <v>109</v>
      </c>
      <c r="W15" s="43" t="s">
        <v>109</v>
      </c>
      <c r="X15" s="43" t="s">
        <v>109</v>
      </c>
      <c r="Y15" s="43" t="s">
        <v>109</v>
      </c>
      <c r="Z15" s="43">
        <v>1</v>
      </c>
      <c r="AA15" s="43" t="s">
        <v>109</v>
      </c>
      <c r="AB15" s="43" t="s">
        <v>109</v>
      </c>
      <c r="AC15" s="43" t="s">
        <v>109</v>
      </c>
      <c r="AD15" s="43" t="s">
        <v>109</v>
      </c>
      <c r="AE15" s="23">
        <f t="shared" si="0"/>
        <v>1</v>
      </c>
      <c r="AF15" s="23" t="e">
        <f t="shared" si="1"/>
        <v>#DIV/0!</v>
      </c>
      <c r="AG15" s="10">
        <f t="shared" si="2"/>
        <v>0</v>
      </c>
      <c r="AH15" s="10">
        <f t="shared" si="3"/>
        <v>1</v>
      </c>
      <c r="AI15" s="8">
        <f t="shared" si="4"/>
        <v>0.5</v>
      </c>
    </row>
    <row r="16" spans="1:39" ht="15" customHeight="1">
      <c r="A16" s="4">
        <v>13</v>
      </c>
      <c r="B16" s="91" t="str">
        <f>'1.HAFTA'!B16</f>
        <v>Ahmet Enes Küçüktepe</v>
      </c>
      <c r="C16" s="43" t="s">
        <v>109</v>
      </c>
      <c r="D16" s="43">
        <v>1</v>
      </c>
      <c r="E16" s="43" t="s">
        <v>109</v>
      </c>
      <c r="F16" s="43" t="s">
        <v>109</v>
      </c>
      <c r="G16" s="43">
        <v>1</v>
      </c>
      <c r="H16" s="43" t="s">
        <v>109</v>
      </c>
      <c r="I16" s="43" t="s">
        <v>109</v>
      </c>
      <c r="J16" s="43"/>
      <c r="K16" s="43"/>
      <c r="L16" s="43"/>
      <c r="M16" s="43"/>
      <c r="N16" s="43"/>
      <c r="O16" s="43"/>
      <c r="P16" s="43"/>
      <c r="Q16" s="43" t="s">
        <v>109</v>
      </c>
      <c r="R16" s="43" t="s">
        <v>109</v>
      </c>
      <c r="S16" s="43">
        <v>0</v>
      </c>
      <c r="T16" s="43" t="s">
        <v>108</v>
      </c>
      <c r="U16" s="43" t="s">
        <v>109</v>
      </c>
      <c r="V16" s="43" t="s">
        <v>109</v>
      </c>
      <c r="W16" s="43" t="s">
        <v>109</v>
      </c>
      <c r="X16" s="43" t="s">
        <v>109</v>
      </c>
      <c r="Y16" s="43" t="s">
        <v>109</v>
      </c>
      <c r="Z16" s="43">
        <v>0</v>
      </c>
      <c r="AA16" s="43" t="s">
        <v>108</v>
      </c>
      <c r="AB16" s="43" t="s">
        <v>109</v>
      </c>
      <c r="AC16" s="43" t="s">
        <v>109</v>
      </c>
      <c r="AD16" s="43" t="s">
        <v>109</v>
      </c>
      <c r="AE16" s="23">
        <f>AVERAGE(C16:I16)</f>
        <v>1</v>
      </c>
      <c r="AF16" s="23" t="e">
        <f t="shared" si="1"/>
        <v>#DIV/0!</v>
      </c>
      <c r="AG16" s="10">
        <f t="shared" si="2"/>
        <v>0</v>
      </c>
      <c r="AH16" s="10">
        <f t="shared" si="3"/>
        <v>0</v>
      </c>
      <c r="AI16" s="8">
        <f t="shared" si="4"/>
        <v>0.66666666666666663</v>
      </c>
    </row>
    <row r="17" spans="1:35" ht="15" customHeight="1">
      <c r="A17" s="3">
        <v>14</v>
      </c>
      <c r="B17" s="85" t="str">
        <f>'1.HAFTA'!B17</f>
        <v>Abdulkerim Karazehir</v>
      </c>
      <c r="C17" s="43" t="s">
        <v>109</v>
      </c>
      <c r="D17" s="43">
        <v>1</v>
      </c>
      <c r="E17" s="43">
        <v>1</v>
      </c>
      <c r="F17" s="43" t="s">
        <v>109</v>
      </c>
      <c r="G17" s="43">
        <v>1</v>
      </c>
      <c r="H17" s="43" t="s">
        <v>109</v>
      </c>
      <c r="I17" s="43" t="s">
        <v>109</v>
      </c>
      <c r="J17" s="43"/>
      <c r="K17" s="43"/>
      <c r="L17" s="43"/>
      <c r="M17" s="43"/>
      <c r="N17" s="43"/>
      <c r="O17" s="43"/>
      <c r="P17" s="43"/>
      <c r="Q17" s="43">
        <v>0</v>
      </c>
      <c r="R17" s="43" t="s">
        <v>112</v>
      </c>
      <c r="S17" s="43">
        <v>0</v>
      </c>
      <c r="T17" s="43">
        <v>0</v>
      </c>
      <c r="U17" s="43" t="s">
        <v>109</v>
      </c>
      <c r="V17" s="43" t="s">
        <v>109</v>
      </c>
      <c r="W17" s="43" t="s">
        <v>109</v>
      </c>
      <c r="X17" s="43" t="s">
        <v>109</v>
      </c>
      <c r="Y17" s="43" t="s">
        <v>109</v>
      </c>
      <c r="Z17" s="43">
        <v>1</v>
      </c>
      <c r="AA17" s="43">
        <v>1</v>
      </c>
      <c r="AB17" s="43" t="s">
        <v>109</v>
      </c>
      <c r="AC17" s="43" t="s">
        <v>109</v>
      </c>
      <c r="AD17" s="43" t="s">
        <v>109</v>
      </c>
      <c r="AE17" s="23">
        <f t="shared" si="0"/>
        <v>1</v>
      </c>
      <c r="AF17" s="23" t="e">
        <f t="shared" si="1"/>
        <v>#DIV/0!</v>
      </c>
      <c r="AG17" s="10">
        <f t="shared" si="2"/>
        <v>0</v>
      </c>
      <c r="AH17" s="10">
        <f t="shared" si="3"/>
        <v>1</v>
      </c>
      <c r="AI17" s="8">
        <f t="shared" si="4"/>
        <v>0.5</v>
      </c>
    </row>
    <row r="18" spans="1:35" ht="15" customHeight="1" thickBot="1">
      <c r="A18" s="59">
        <v>15</v>
      </c>
      <c r="B18" s="85" t="str">
        <f>'1.HAFTA'!B18</f>
        <v>Berat Basan</v>
      </c>
      <c r="C18" s="43" t="s">
        <v>109</v>
      </c>
      <c r="D18" s="43">
        <v>0</v>
      </c>
      <c r="E18" s="43" t="s">
        <v>109</v>
      </c>
      <c r="F18" s="43" t="s">
        <v>109</v>
      </c>
      <c r="G18" s="43">
        <v>1</v>
      </c>
      <c r="H18" s="43" t="s">
        <v>109</v>
      </c>
      <c r="I18" s="43" t="s">
        <v>109</v>
      </c>
      <c r="J18" s="43"/>
      <c r="K18" s="43"/>
      <c r="L18" s="43"/>
      <c r="M18" s="43"/>
      <c r="N18" s="43"/>
      <c r="O18" s="43"/>
      <c r="P18" s="43"/>
      <c r="Q18" s="43">
        <v>0</v>
      </c>
      <c r="R18" s="43">
        <v>0</v>
      </c>
      <c r="S18" s="43">
        <v>0</v>
      </c>
      <c r="T18" s="43">
        <v>0</v>
      </c>
      <c r="U18" s="43" t="s">
        <v>109</v>
      </c>
      <c r="V18" s="43" t="s">
        <v>109</v>
      </c>
      <c r="W18" s="43" t="s">
        <v>109</v>
      </c>
      <c r="X18" s="43" t="s">
        <v>109</v>
      </c>
      <c r="Y18" s="43" t="s">
        <v>109</v>
      </c>
      <c r="Z18" s="43">
        <v>1</v>
      </c>
      <c r="AA18" s="43">
        <v>1</v>
      </c>
      <c r="AB18" s="43" t="s">
        <v>109</v>
      </c>
      <c r="AC18" s="43" t="s">
        <v>109</v>
      </c>
      <c r="AD18" s="43" t="s">
        <v>109</v>
      </c>
      <c r="AE18" s="23">
        <f t="shared" si="0"/>
        <v>0.5</v>
      </c>
      <c r="AF18" s="23" t="e">
        <f t="shared" si="1"/>
        <v>#DIV/0!</v>
      </c>
      <c r="AG18" s="10">
        <f t="shared" si="2"/>
        <v>0</v>
      </c>
      <c r="AH18" s="10">
        <f t="shared" si="3"/>
        <v>1</v>
      </c>
      <c r="AI18" s="8">
        <f t="shared" si="4"/>
        <v>0.16666666666666666</v>
      </c>
    </row>
    <row r="19" spans="1:35" ht="15" customHeight="1">
      <c r="A19" s="4">
        <v>16</v>
      </c>
      <c r="B19" s="85" t="str">
        <f>'1.HAFTA'!B19</f>
        <v>Burhan Çevik</v>
      </c>
      <c r="C19" s="43" t="s">
        <v>109</v>
      </c>
      <c r="D19" s="43">
        <v>1</v>
      </c>
      <c r="E19" s="43" t="s">
        <v>109</v>
      </c>
      <c r="F19" s="43" t="s">
        <v>109</v>
      </c>
      <c r="G19" s="43">
        <v>1</v>
      </c>
      <c r="H19" s="43" t="s">
        <v>109</v>
      </c>
      <c r="I19" s="43" t="s">
        <v>109</v>
      </c>
      <c r="J19" s="43"/>
      <c r="K19" s="43"/>
      <c r="L19" s="43"/>
      <c r="M19" s="43"/>
      <c r="N19" s="43"/>
      <c r="O19" s="43"/>
      <c r="P19" s="43"/>
      <c r="Q19" s="43">
        <v>0</v>
      </c>
      <c r="R19" s="43">
        <v>1</v>
      </c>
      <c r="S19" s="43">
        <v>1</v>
      </c>
      <c r="T19" s="43">
        <v>0</v>
      </c>
      <c r="U19" s="43" t="s">
        <v>109</v>
      </c>
      <c r="V19" s="43" t="s">
        <v>109</v>
      </c>
      <c r="W19" s="43" t="s">
        <v>109</v>
      </c>
      <c r="X19" s="43" t="s">
        <v>109</v>
      </c>
      <c r="Y19" s="43" t="s">
        <v>109</v>
      </c>
      <c r="Z19" s="43">
        <v>1</v>
      </c>
      <c r="AA19" s="43">
        <v>1</v>
      </c>
      <c r="AB19" s="43" t="s">
        <v>109</v>
      </c>
      <c r="AC19" s="43" t="s">
        <v>109</v>
      </c>
      <c r="AD19" s="43" t="s">
        <v>109</v>
      </c>
      <c r="AE19" s="23">
        <f t="shared" si="0"/>
        <v>1</v>
      </c>
      <c r="AF19" s="23" t="e">
        <f t="shared" si="1"/>
        <v>#DIV/0!</v>
      </c>
      <c r="AG19" s="10">
        <f t="shared" si="2"/>
        <v>0.5</v>
      </c>
      <c r="AH19" s="10">
        <f t="shared" si="3"/>
        <v>1</v>
      </c>
      <c r="AI19" s="8">
        <f t="shared" si="4"/>
        <v>0.66666666666666663</v>
      </c>
    </row>
    <row r="20" spans="1:35" ht="15" customHeight="1">
      <c r="A20" s="3">
        <v>17</v>
      </c>
      <c r="B20" s="85" t="str">
        <f>'1.HAFTA'!B20</f>
        <v>Enes Bakar</v>
      </c>
      <c r="C20" s="43" t="s">
        <v>109</v>
      </c>
      <c r="D20" s="43">
        <v>0</v>
      </c>
      <c r="E20" s="43" t="s">
        <v>109</v>
      </c>
      <c r="F20" s="43" t="s">
        <v>109</v>
      </c>
      <c r="G20" s="43" t="s">
        <v>110</v>
      </c>
      <c r="H20" s="43" t="s">
        <v>109</v>
      </c>
      <c r="I20" s="43" t="s">
        <v>109</v>
      </c>
      <c r="J20" s="43"/>
      <c r="K20" s="43"/>
      <c r="L20" s="43"/>
      <c r="M20" s="43"/>
      <c r="N20" s="43"/>
      <c r="O20" s="43"/>
      <c r="P20" s="43"/>
      <c r="Q20" s="43">
        <v>0</v>
      </c>
      <c r="R20" s="43">
        <v>0</v>
      </c>
      <c r="S20" s="43">
        <v>0</v>
      </c>
      <c r="T20" s="43">
        <v>0</v>
      </c>
      <c r="U20" s="43" t="s">
        <v>109</v>
      </c>
      <c r="V20" s="43" t="s">
        <v>109</v>
      </c>
      <c r="W20" s="43" t="s">
        <v>109</v>
      </c>
      <c r="X20" s="43" t="s">
        <v>109</v>
      </c>
      <c r="Y20" s="43" t="s">
        <v>109</v>
      </c>
      <c r="Z20" s="43">
        <v>0</v>
      </c>
      <c r="AA20" s="43">
        <v>1</v>
      </c>
      <c r="AB20" s="43" t="s">
        <v>109</v>
      </c>
      <c r="AC20" s="43" t="s">
        <v>109</v>
      </c>
      <c r="AD20" s="43" t="s">
        <v>109</v>
      </c>
      <c r="AE20" s="23">
        <f t="shared" si="0"/>
        <v>0</v>
      </c>
      <c r="AF20" s="23" t="e">
        <f t="shared" si="1"/>
        <v>#DIV/0!</v>
      </c>
      <c r="AG20" s="10">
        <f t="shared" si="2"/>
        <v>0</v>
      </c>
      <c r="AH20" s="10">
        <f t="shared" si="3"/>
        <v>0.5</v>
      </c>
      <c r="AI20" s="8">
        <f t="shared" si="4"/>
        <v>0</v>
      </c>
    </row>
    <row r="21" spans="1:35" ht="15" customHeight="1" thickBot="1">
      <c r="A21" s="59">
        <v>18</v>
      </c>
      <c r="B21" s="85" t="str">
        <f>'1.HAFTA'!B21</f>
        <v>Hüseyin Özdemir</v>
      </c>
      <c r="C21" s="43" t="s">
        <v>109</v>
      </c>
      <c r="D21" s="43">
        <v>0</v>
      </c>
      <c r="E21" s="43" t="s">
        <v>109</v>
      </c>
      <c r="F21" s="43" t="s">
        <v>109</v>
      </c>
      <c r="G21" s="43">
        <v>1</v>
      </c>
      <c r="H21" s="43" t="s">
        <v>109</v>
      </c>
      <c r="I21" s="43" t="s">
        <v>109</v>
      </c>
      <c r="J21" s="43"/>
      <c r="K21" s="43"/>
      <c r="L21" s="43"/>
      <c r="M21" s="43"/>
      <c r="N21" s="43"/>
      <c r="O21" s="43"/>
      <c r="P21" s="43"/>
      <c r="Q21" s="43">
        <v>0</v>
      </c>
      <c r="R21" s="43">
        <v>1</v>
      </c>
      <c r="S21" s="43">
        <v>0</v>
      </c>
      <c r="T21" s="43">
        <v>1</v>
      </c>
      <c r="U21" s="43" t="s">
        <v>109</v>
      </c>
      <c r="V21" s="43" t="s">
        <v>109</v>
      </c>
      <c r="W21" s="43" t="s">
        <v>109</v>
      </c>
      <c r="X21" s="43" t="s">
        <v>109</v>
      </c>
      <c r="Y21" s="43" t="s">
        <v>109</v>
      </c>
      <c r="Z21" s="43">
        <v>0</v>
      </c>
      <c r="AA21" s="43">
        <v>1</v>
      </c>
      <c r="AB21" s="43" t="s">
        <v>109</v>
      </c>
      <c r="AC21" s="43" t="s">
        <v>109</v>
      </c>
      <c r="AD21" s="43" t="s">
        <v>109</v>
      </c>
      <c r="AE21" s="23">
        <f t="shared" si="0"/>
        <v>0.5</v>
      </c>
      <c r="AF21" s="23" t="e">
        <f t="shared" si="1"/>
        <v>#DIV/0!</v>
      </c>
      <c r="AG21" s="10">
        <f t="shared" si="2"/>
        <v>0.5</v>
      </c>
      <c r="AH21" s="10">
        <f t="shared" si="3"/>
        <v>0.5</v>
      </c>
      <c r="AI21" s="8">
        <f t="shared" si="4"/>
        <v>0.5</v>
      </c>
    </row>
    <row r="22" spans="1:35" ht="15" customHeight="1">
      <c r="A22" s="4">
        <v>19</v>
      </c>
      <c r="B22" s="85" t="str">
        <f>'1.HAFTA'!B22</f>
        <v>Yahya Yıldız</v>
      </c>
      <c r="C22" s="43" t="s">
        <v>109</v>
      </c>
      <c r="D22" s="43">
        <v>0</v>
      </c>
      <c r="E22" s="43">
        <v>1</v>
      </c>
      <c r="F22" s="43" t="s">
        <v>109</v>
      </c>
      <c r="G22" s="43" t="s">
        <v>109</v>
      </c>
      <c r="H22" s="43" t="s">
        <v>109</v>
      </c>
      <c r="I22" s="43" t="s">
        <v>109</v>
      </c>
      <c r="J22" s="43"/>
      <c r="K22" s="43"/>
      <c r="L22" s="43"/>
      <c r="M22" s="43"/>
      <c r="N22" s="43"/>
      <c r="O22" s="43"/>
      <c r="P22" s="43"/>
      <c r="Q22" s="43">
        <v>0</v>
      </c>
      <c r="R22" s="43">
        <v>1</v>
      </c>
      <c r="S22" s="43" t="s">
        <v>109</v>
      </c>
      <c r="T22" s="43">
        <v>0</v>
      </c>
      <c r="U22" s="43" t="s">
        <v>109</v>
      </c>
      <c r="V22" s="43" t="s">
        <v>109</v>
      </c>
      <c r="W22" s="43" t="s">
        <v>109</v>
      </c>
      <c r="X22" s="43" t="s">
        <v>109</v>
      </c>
      <c r="Y22" s="43" t="s">
        <v>109</v>
      </c>
      <c r="Z22" s="43" t="s">
        <v>109</v>
      </c>
      <c r="AA22" s="43">
        <v>0</v>
      </c>
      <c r="AB22" s="43" t="s">
        <v>109</v>
      </c>
      <c r="AC22" s="43" t="s">
        <v>109</v>
      </c>
      <c r="AD22" s="43" t="s">
        <v>109</v>
      </c>
      <c r="AE22" s="23">
        <f t="shared" si="0"/>
        <v>0.5</v>
      </c>
      <c r="AF22" s="23" t="e">
        <f t="shared" si="1"/>
        <v>#DIV/0!</v>
      </c>
      <c r="AG22" s="10">
        <f t="shared" si="2"/>
        <v>0.33333333333333331</v>
      </c>
      <c r="AH22" s="10">
        <f t="shared" si="3"/>
        <v>0</v>
      </c>
      <c r="AI22" s="8">
        <f t="shared" si="4"/>
        <v>0.4</v>
      </c>
    </row>
    <row r="23" spans="1:35" ht="15" customHeight="1">
      <c r="A23" s="3">
        <v>20</v>
      </c>
      <c r="B23" s="85" t="str">
        <f>'1.HAFTA'!B23</f>
        <v>Yakup Karazehir</v>
      </c>
      <c r="C23" s="43" t="s">
        <v>109</v>
      </c>
      <c r="D23" s="43">
        <v>1</v>
      </c>
      <c r="E23" s="43">
        <v>1</v>
      </c>
      <c r="F23" s="43" t="s">
        <v>109</v>
      </c>
      <c r="G23" s="43">
        <v>1</v>
      </c>
      <c r="H23" s="43" t="s">
        <v>109</v>
      </c>
      <c r="I23" s="43" t="s">
        <v>109</v>
      </c>
      <c r="J23" s="43"/>
      <c r="K23" s="43"/>
      <c r="L23" s="43"/>
      <c r="M23" s="43"/>
      <c r="N23" s="43"/>
      <c r="O23" s="43"/>
      <c r="P23" s="43"/>
      <c r="Q23" s="43">
        <v>1</v>
      </c>
      <c r="R23" s="43">
        <v>1</v>
      </c>
      <c r="S23" s="43">
        <v>1</v>
      </c>
      <c r="T23" s="43">
        <v>1</v>
      </c>
      <c r="U23" s="43" t="s">
        <v>109</v>
      </c>
      <c r="V23" s="43" t="s">
        <v>109</v>
      </c>
      <c r="W23" s="43" t="s">
        <v>109</v>
      </c>
      <c r="X23" s="43" t="s">
        <v>109</v>
      </c>
      <c r="Y23" s="43" t="s">
        <v>109</v>
      </c>
      <c r="Z23" s="43">
        <v>1</v>
      </c>
      <c r="AA23" s="43">
        <v>1</v>
      </c>
      <c r="AB23" s="43" t="s">
        <v>109</v>
      </c>
      <c r="AC23" s="43" t="s">
        <v>109</v>
      </c>
      <c r="AD23" s="43" t="s">
        <v>109</v>
      </c>
      <c r="AE23" s="23">
        <f t="shared" si="0"/>
        <v>1</v>
      </c>
      <c r="AF23" s="23" t="e">
        <f t="shared" si="1"/>
        <v>#DIV/0!</v>
      </c>
      <c r="AG23" s="10">
        <f t="shared" si="2"/>
        <v>1</v>
      </c>
      <c r="AH23" s="10">
        <f t="shared" si="3"/>
        <v>1</v>
      </c>
      <c r="AI23" s="8">
        <f t="shared" si="4"/>
        <v>1</v>
      </c>
    </row>
    <row r="24" spans="1:35" ht="15" customHeight="1" thickBot="1">
      <c r="A24" s="59">
        <v>21</v>
      </c>
      <c r="B24" s="85" t="str">
        <f>'1.HAFTA'!B24</f>
        <v>Abdussamed Arslan</v>
      </c>
      <c r="C24" s="43" t="s">
        <v>109</v>
      </c>
      <c r="D24" s="43">
        <v>0</v>
      </c>
      <c r="E24" s="43" t="s">
        <v>109</v>
      </c>
      <c r="F24" s="43" t="s">
        <v>109</v>
      </c>
      <c r="G24" s="43">
        <v>1</v>
      </c>
      <c r="H24" s="43" t="s">
        <v>109</v>
      </c>
      <c r="I24" s="43" t="s">
        <v>109</v>
      </c>
      <c r="J24" s="43"/>
      <c r="K24" s="43"/>
      <c r="L24" s="43"/>
      <c r="M24" s="43"/>
      <c r="N24" s="43"/>
      <c r="O24" s="43"/>
      <c r="P24" s="43"/>
      <c r="Q24" s="43">
        <v>0</v>
      </c>
      <c r="R24" s="43">
        <v>0</v>
      </c>
      <c r="S24" s="43">
        <v>0</v>
      </c>
      <c r="T24" s="43">
        <v>0</v>
      </c>
      <c r="U24" s="43" t="s">
        <v>109</v>
      </c>
      <c r="V24" s="43" t="s">
        <v>109</v>
      </c>
      <c r="W24" s="43" t="s">
        <v>109</v>
      </c>
      <c r="X24" s="43" t="s">
        <v>109</v>
      </c>
      <c r="Y24" s="43" t="s">
        <v>109</v>
      </c>
      <c r="Z24" s="43">
        <v>0</v>
      </c>
      <c r="AA24" s="43">
        <v>1</v>
      </c>
      <c r="AB24" s="43" t="s">
        <v>109</v>
      </c>
      <c r="AC24" s="43" t="s">
        <v>109</v>
      </c>
      <c r="AD24" s="43" t="s">
        <v>109</v>
      </c>
      <c r="AE24" s="23">
        <f t="shared" si="0"/>
        <v>0.5</v>
      </c>
      <c r="AF24" s="23" t="e">
        <f t="shared" si="1"/>
        <v>#DIV/0!</v>
      </c>
      <c r="AG24" s="10">
        <f t="shared" si="2"/>
        <v>0</v>
      </c>
      <c r="AH24" s="10">
        <f t="shared" si="3"/>
        <v>0.5</v>
      </c>
      <c r="AI24" s="8">
        <f t="shared" si="4"/>
        <v>0.16666666666666666</v>
      </c>
    </row>
    <row r="25" spans="1:35" ht="15" customHeight="1">
      <c r="A25" s="4">
        <v>22</v>
      </c>
      <c r="B25" s="85" t="str">
        <f>'1.HAFTA'!B25</f>
        <v>Abdussamed Erdem</v>
      </c>
      <c r="C25" s="43" t="s">
        <v>109</v>
      </c>
      <c r="D25" s="43">
        <v>1</v>
      </c>
      <c r="E25" s="43" t="s">
        <v>109</v>
      </c>
      <c r="F25" s="43" t="s">
        <v>109</v>
      </c>
      <c r="G25" s="43">
        <v>1</v>
      </c>
      <c r="H25" s="43" t="s">
        <v>109</v>
      </c>
      <c r="I25" s="43" t="s">
        <v>109</v>
      </c>
      <c r="J25" s="43"/>
      <c r="K25" s="43"/>
      <c r="L25" s="43"/>
      <c r="M25" s="43"/>
      <c r="N25" s="43"/>
      <c r="O25" s="43"/>
      <c r="P25" s="43"/>
      <c r="Q25" s="43">
        <v>1</v>
      </c>
      <c r="R25" s="43">
        <v>1</v>
      </c>
      <c r="S25" s="43">
        <v>1</v>
      </c>
      <c r="T25" s="43">
        <v>1</v>
      </c>
      <c r="U25" s="43" t="s">
        <v>109</v>
      </c>
      <c r="V25" s="43" t="s">
        <v>109</v>
      </c>
      <c r="W25" s="43" t="s">
        <v>109</v>
      </c>
      <c r="X25" s="43" t="s">
        <v>109</v>
      </c>
      <c r="Y25" s="43" t="s">
        <v>109</v>
      </c>
      <c r="Z25" s="43">
        <v>1</v>
      </c>
      <c r="AA25" s="43">
        <v>1</v>
      </c>
      <c r="AB25" s="43" t="s">
        <v>109</v>
      </c>
      <c r="AC25" s="43" t="s">
        <v>109</v>
      </c>
      <c r="AD25" s="43" t="s">
        <v>109</v>
      </c>
      <c r="AE25" s="23">
        <f t="shared" si="0"/>
        <v>1</v>
      </c>
      <c r="AF25" s="23" t="e">
        <f t="shared" si="1"/>
        <v>#DIV/0!</v>
      </c>
      <c r="AG25" s="10">
        <f t="shared" si="2"/>
        <v>1</v>
      </c>
      <c r="AH25" s="10">
        <f t="shared" si="3"/>
        <v>1</v>
      </c>
      <c r="AI25" s="8">
        <f t="shared" si="4"/>
        <v>1</v>
      </c>
    </row>
    <row r="26" spans="1:35" ht="15" customHeight="1">
      <c r="A26" s="3">
        <v>23</v>
      </c>
      <c r="B26" s="85" t="str">
        <f>'1.HAFTA'!B26</f>
        <v>Ahmet Boyacıoğlu</v>
      </c>
      <c r="C26" s="43" t="s">
        <v>109</v>
      </c>
      <c r="D26" s="43">
        <v>1</v>
      </c>
      <c r="E26" s="43" t="s">
        <v>109</v>
      </c>
      <c r="F26" s="43" t="s">
        <v>109</v>
      </c>
      <c r="G26" s="43"/>
      <c r="H26" s="43" t="s">
        <v>109</v>
      </c>
      <c r="I26" s="43" t="s">
        <v>109</v>
      </c>
      <c r="J26" s="43"/>
      <c r="K26" s="43"/>
      <c r="L26" s="43"/>
      <c r="M26" s="43"/>
      <c r="N26" s="43"/>
      <c r="O26" s="43"/>
      <c r="P26" s="43"/>
      <c r="Q26" s="43">
        <v>0</v>
      </c>
      <c r="R26" s="43">
        <v>0</v>
      </c>
      <c r="S26" s="43">
        <v>0</v>
      </c>
      <c r="T26" s="43">
        <v>0</v>
      </c>
      <c r="U26" s="43" t="s">
        <v>109</v>
      </c>
      <c r="V26" s="43" t="s">
        <v>109</v>
      </c>
      <c r="W26" s="43" t="s">
        <v>109</v>
      </c>
      <c r="X26" s="43" t="s">
        <v>109</v>
      </c>
      <c r="Y26" s="43" t="s">
        <v>109</v>
      </c>
      <c r="Z26" s="43">
        <v>0</v>
      </c>
      <c r="AA26" s="43">
        <v>1</v>
      </c>
      <c r="AB26" s="43" t="s">
        <v>109</v>
      </c>
      <c r="AC26" s="43" t="s">
        <v>109</v>
      </c>
      <c r="AD26" s="43" t="s">
        <v>109</v>
      </c>
      <c r="AE26" s="23">
        <f t="shared" si="0"/>
        <v>1</v>
      </c>
      <c r="AF26" s="23" t="e">
        <f t="shared" si="1"/>
        <v>#DIV/0!</v>
      </c>
      <c r="AG26" s="10">
        <f t="shared" si="2"/>
        <v>0</v>
      </c>
      <c r="AH26" s="10">
        <f t="shared" si="3"/>
        <v>0.5</v>
      </c>
      <c r="AI26" s="8">
        <f t="shared" si="4"/>
        <v>0.2</v>
      </c>
    </row>
    <row r="27" spans="1:35" ht="15" customHeight="1" thickBot="1">
      <c r="A27" s="59">
        <v>24</v>
      </c>
      <c r="B27" s="85" t="str">
        <f>'1.HAFTA'!B27</f>
        <v>Ahmet Kökçü</v>
      </c>
      <c r="C27" s="43" t="s">
        <v>109</v>
      </c>
      <c r="D27" s="43" t="s">
        <v>109</v>
      </c>
      <c r="E27" s="43">
        <v>1</v>
      </c>
      <c r="F27" s="43" t="s">
        <v>109</v>
      </c>
      <c r="G27" s="43" t="s">
        <v>109</v>
      </c>
      <c r="H27" s="43" t="s">
        <v>109</v>
      </c>
      <c r="I27" s="43" t="s">
        <v>109</v>
      </c>
      <c r="J27" s="43"/>
      <c r="K27" s="43"/>
      <c r="L27" s="43"/>
      <c r="M27" s="43"/>
      <c r="N27" s="43"/>
      <c r="O27" s="43"/>
      <c r="P27" s="43"/>
      <c r="Q27" s="43" t="s">
        <v>109</v>
      </c>
      <c r="R27" s="43">
        <v>1</v>
      </c>
      <c r="S27" s="43">
        <v>1</v>
      </c>
      <c r="T27" s="43" t="s">
        <v>109</v>
      </c>
      <c r="U27" s="43" t="s">
        <v>109</v>
      </c>
      <c r="V27" s="43" t="s">
        <v>109</v>
      </c>
      <c r="W27" s="43" t="s">
        <v>109</v>
      </c>
      <c r="X27" s="43" t="s">
        <v>109</v>
      </c>
      <c r="Y27" s="43" t="s">
        <v>109</v>
      </c>
      <c r="Z27" s="43">
        <v>1</v>
      </c>
      <c r="AA27" s="43" t="s">
        <v>109</v>
      </c>
      <c r="AB27" s="43" t="s">
        <v>109</v>
      </c>
      <c r="AC27" s="43" t="s">
        <v>109</v>
      </c>
      <c r="AD27" s="43" t="s">
        <v>109</v>
      </c>
      <c r="AE27" s="23">
        <f t="shared" si="0"/>
        <v>1</v>
      </c>
      <c r="AF27" s="23" t="e">
        <f t="shared" si="1"/>
        <v>#DIV/0!</v>
      </c>
      <c r="AG27" s="10">
        <f t="shared" si="2"/>
        <v>1</v>
      </c>
      <c r="AH27" s="10">
        <f t="shared" si="3"/>
        <v>1</v>
      </c>
      <c r="AI27" s="8">
        <f t="shared" si="4"/>
        <v>1</v>
      </c>
    </row>
    <row r="28" spans="1:35" ht="15" customHeight="1">
      <c r="A28" s="4">
        <v>25</v>
      </c>
      <c r="B28" s="85" t="str">
        <f>'1.HAFTA'!B28</f>
        <v>Fatih Burcu</v>
      </c>
      <c r="C28" s="43" t="s">
        <v>109</v>
      </c>
      <c r="D28" s="43">
        <v>1</v>
      </c>
      <c r="E28" s="43">
        <v>1</v>
      </c>
      <c r="F28" s="43" t="s">
        <v>109</v>
      </c>
      <c r="G28" s="43">
        <v>1</v>
      </c>
      <c r="H28" s="43" t="s">
        <v>109</v>
      </c>
      <c r="I28" s="43" t="s">
        <v>109</v>
      </c>
      <c r="J28" s="43"/>
      <c r="K28" s="43"/>
      <c r="L28" s="43"/>
      <c r="M28" s="43"/>
      <c r="N28" s="43"/>
      <c r="O28" s="43"/>
      <c r="P28" s="43"/>
      <c r="Q28" s="43">
        <v>1</v>
      </c>
      <c r="R28" s="43">
        <v>1</v>
      </c>
      <c r="S28" s="43">
        <v>1</v>
      </c>
      <c r="T28" s="43">
        <v>1</v>
      </c>
      <c r="U28" s="43" t="s">
        <v>109</v>
      </c>
      <c r="V28" s="43" t="s">
        <v>109</v>
      </c>
      <c r="W28" s="43" t="s">
        <v>109</v>
      </c>
      <c r="X28" s="43" t="s">
        <v>109</v>
      </c>
      <c r="Y28" s="43" t="s">
        <v>109</v>
      </c>
      <c r="Z28" s="43">
        <v>1</v>
      </c>
      <c r="AA28" s="43">
        <v>1</v>
      </c>
      <c r="AB28" s="43" t="s">
        <v>109</v>
      </c>
      <c r="AC28" s="43" t="s">
        <v>109</v>
      </c>
      <c r="AD28" s="43" t="s">
        <v>109</v>
      </c>
      <c r="AE28" s="23">
        <f t="shared" si="0"/>
        <v>1</v>
      </c>
      <c r="AF28" s="23" t="e">
        <f t="shared" si="1"/>
        <v>#DIV/0!</v>
      </c>
      <c r="AG28" s="10">
        <f t="shared" si="2"/>
        <v>1</v>
      </c>
      <c r="AH28" s="10">
        <f t="shared" si="3"/>
        <v>1</v>
      </c>
      <c r="AI28" s="8">
        <f t="shared" si="4"/>
        <v>1</v>
      </c>
    </row>
    <row r="29" spans="1:35" ht="15" customHeight="1">
      <c r="A29" s="3">
        <v>26</v>
      </c>
      <c r="B29" s="85" t="str">
        <f>'1.HAFTA'!B29</f>
        <v>Fehmi Kütük</v>
      </c>
      <c r="C29" s="43" t="s">
        <v>109</v>
      </c>
      <c r="D29" s="43">
        <v>1</v>
      </c>
      <c r="E29" s="43">
        <v>1</v>
      </c>
      <c r="F29" s="43" t="s">
        <v>109</v>
      </c>
      <c r="G29" s="43">
        <v>1</v>
      </c>
      <c r="H29" s="43" t="s">
        <v>109</v>
      </c>
      <c r="I29" s="43" t="s">
        <v>109</v>
      </c>
      <c r="J29" s="43"/>
      <c r="K29" s="43"/>
      <c r="L29" s="43"/>
      <c r="M29" s="43"/>
      <c r="N29" s="43"/>
      <c r="O29" s="43"/>
      <c r="P29" s="43"/>
      <c r="Q29" s="43">
        <v>0</v>
      </c>
      <c r="R29" s="43" t="s">
        <v>109</v>
      </c>
      <c r="S29" s="43">
        <v>0</v>
      </c>
      <c r="T29" s="43" t="s">
        <v>111</v>
      </c>
      <c r="U29" s="43" t="s">
        <v>109</v>
      </c>
      <c r="V29" s="43" t="s">
        <v>109</v>
      </c>
      <c r="W29" s="43" t="s">
        <v>109</v>
      </c>
      <c r="X29" s="43" t="s">
        <v>109</v>
      </c>
      <c r="Y29" s="43" t="s">
        <v>109</v>
      </c>
      <c r="Z29" s="43">
        <v>1</v>
      </c>
      <c r="AA29" s="43" t="s">
        <v>111</v>
      </c>
      <c r="AB29" s="43" t="s">
        <v>109</v>
      </c>
      <c r="AC29" s="43" t="s">
        <v>109</v>
      </c>
      <c r="AD29" s="43" t="s">
        <v>109</v>
      </c>
      <c r="AE29" s="23">
        <f t="shared" si="0"/>
        <v>1</v>
      </c>
      <c r="AF29" s="23" t="e">
        <f t="shared" si="1"/>
        <v>#DIV/0!</v>
      </c>
      <c r="AG29" s="10">
        <f t="shared" si="2"/>
        <v>0</v>
      </c>
      <c r="AH29" s="10">
        <f t="shared" si="3"/>
        <v>1</v>
      </c>
      <c r="AI29" s="8">
        <f t="shared" si="4"/>
        <v>0.6</v>
      </c>
    </row>
    <row r="30" spans="1:35" ht="15" customHeight="1" thickBot="1">
      <c r="A30" s="59">
        <v>27</v>
      </c>
      <c r="B30" s="85" t="str">
        <f>'1.HAFTA'!B30</f>
        <v>Mehmet Cakmak</v>
      </c>
      <c r="C30" s="43" t="s">
        <v>109</v>
      </c>
      <c r="D30" s="43">
        <v>1</v>
      </c>
      <c r="E30" s="43">
        <v>1</v>
      </c>
      <c r="F30" s="43" t="s">
        <v>109</v>
      </c>
      <c r="G30" s="43">
        <v>1</v>
      </c>
      <c r="H30" s="43" t="s">
        <v>109</v>
      </c>
      <c r="I30" s="43" t="s">
        <v>109</v>
      </c>
      <c r="J30" s="43"/>
      <c r="K30" s="43"/>
      <c r="L30" s="43"/>
      <c r="M30" s="43"/>
      <c r="N30" s="43"/>
      <c r="O30" s="43"/>
      <c r="P30" s="43"/>
      <c r="Q30" s="43">
        <v>0</v>
      </c>
      <c r="R30" s="43">
        <v>1</v>
      </c>
      <c r="S30" s="43">
        <v>1</v>
      </c>
      <c r="T30" s="43">
        <v>1</v>
      </c>
      <c r="U30" s="43" t="s">
        <v>109</v>
      </c>
      <c r="V30" s="43" t="s">
        <v>109</v>
      </c>
      <c r="W30" s="43" t="s">
        <v>109</v>
      </c>
      <c r="X30" s="43" t="s">
        <v>109</v>
      </c>
      <c r="Y30" s="43" t="s">
        <v>109</v>
      </c>
      <c r="Z30" s="43">
        <v>1</v>
      </c>
      <c r="AA30" s="43">
        <v>1</v>
      </c>
      <c r="AB30" s="43" t="s">
        <v>109</v>
      </c>
      <c r="AC30" s="43" t="s">
        <v>109</v>
      </c>
      <c r="AD30" s="43" t="s">
        <v>109</v>
      </c>
      <c r="AE30" s="23">
        <f t="shared" si="0"/>
        <v>1</v>
      </c>
      <c r="AF30" s="23" t="e">
        <f t="shared" si="1"/>
        <v>#DIV/0!</v>
      </c>
      <c r="AG30" s="10">
        <f t="shared" si="2"/>
        <v>0.75</v>
      </c>
      <c r="AH30" s="10">
        <f t="shared" si="3"/>
        <v>1</v>
      </c>
      <c r="AI30" s="8">
        <f t="shared" si="4"/>
        <v>0.8571428571428571</v>
      </c>
    </row>
    <row r="31" spans="1:35" ht="15" customHeight="1">
      <c r="A31" s="4">
        <v>28</v>
      </c>
      <c r="B31" s="85" t="str">
        <f>'1.HAFTA'!B31</f>
        <v>Rasit Aldirmaz</v>
      </c>
      <c r="C31" s="43" t="s">
        <v>109</v>
      </c>
      <c r="D31" s="43">
        <v>1</v>
      </c>
      <c r="E31" s="43" t="s">
        <v>109</v>
      </c>
      <c r="F31" s="43" t="s">
        <v>109</v>
      </c>
      <c r="G31" s="43">
        <v>1</v>
      </c>
      <c r="H31" s="43" t="s">
        <v>109</v>
      </c>
      <c r="I31" s="43" t="s">
        <v>109</v>
      </c>
      <c r="J31" s="43"/>
      <c r="K31" s="43"/>
      <c r="L31" s="43"/>
      <c r="M31" s="43"/>
      <c r="N31" s="43"/>
      <c r="O31" s="43"/>
      <c r="P31" s="43"/>
      <c r="Q31" s="43">
        <v>1</v>
      </c>
      <c r="R31" s="43">
        <v>1</v>
      </c>
      <c r="S31" s="43">
        <v>0</v>
      </c>
      <c r="T31" s="43">
        <v>0</v>
      </c>
      <c r="U31" s="43" t="s">
        <v>109</v>
      </c>
      <c r="V31" s="43" t="s">
        <v>109</v>
      </c>
      <c r="W31" s="43" t="s">
        <v>109</v>
      </c>
      <c r="X31" s="43" t="s">
        <v>109</v>
      </c>
      <c r="Y31" s="43" t="s">
        <v>109</v>
      </c>
      <c r="Z31" s="43">
        <v>1</v>
      </c>
      <c r="AA31" s="43">
        <v>0</v>
      </c>
      <c r="AB31" s="43" t="s">
        <v>109</v>
      </c>
      <c r="AC31" s="43" t="s">
        <v>109</v>
      </c>
      <c r="AD31" s="43" t="s">
        <v>109</v>
      </c>
      <c r="AE31" s="23">
        <f t="shared" si="0"/>
        <v>1</v>
      </c>
      <c r="AF31" s="23" t="e">
        <f t="shared" si="1"/>
        <v>#DIV/0!</v>
      </c>
      <c r="AG31" s="10">
        <f t="shared" si="2"/>
        <v>0.5</v>
      </c>
      <c r="AH31" s="10">
        <f t="shared" si="3"/>
        <v>0.5</v>
      </c>
      <c r="AI31" s="8">
        <f t="shared" si="4"/>
        <v>0.66666666666666663</v>
      </c>
    </row>
    <row r="32" spans="1:35" ht="15" customHeight="1">
      <c r="A32" s="3">
        <v>29</v>
      </c>
      <c r="B32" s="85" t="str">
        <f>'1.HAFTA'!B32</f>
        <v>Tunahan Altun</v>
      </c>
      <c r="C32" s="43" t="s">
        <v>109</v>
      </c>
      <c r="D32" s="43">
        <v>1</v>
      </c>
      <c r="E32" s="43">
        <v>1</v>
      </c>
      <c r="F32" s="43" t="s">
        <v>109</v>
      </c>
      <c r="G32" s="43">
        <v>1</v>
      </c>
      <c r="H32" s="43" t="s">
        <v>109</v>
      </c>
      <c r="I32" s="43" t="s">
        <v>109</v>
      </c>
      <c r="J32" s="43"/>
      <c r="K32" s="43"/>
      <c r="L32" s="43"/>
      <c r="M32" s="43"/>
      <c r="N32" s="43"/>
      <c r="O32" s="43"/>
      <c r="P32" s="43"/>
      <c r="Q32" s="43">
        <v>1</v>
      </c>
      <c r="R32" s="43">
        <v>0</v>
      </c>
      <c r="S32" s="43">
        <v>1</v>
      </c>
      <c r="T32" s="43">
        <v>1</v>
      </c>
      <c r="U32" s="43" t="s">
        <v>109</v>
      </c>
      <c r="V32" s="43" t="s">
        <v>109</v>
      </c>
      <c r="W32" s="43" t="s">
        <v>109</v>
      </c>
      <c r="X32" s="43" t="s">
        <v>109</v>
      </c>
      <c r="Y32" s="43" t="s">
        <v>109</v>
      </c>
      <c r="Z32" s="43">
        <v>1</v>
      </c>
      <c r="AA32" s="43">
        <v>1</v>
      </c>
      <c r="AB32" s="43" t="s">
        <v>109</v>
      </c>
      <c r="AC32" s="43" t="s">
        <v>109</v>
      </c>
      <c r="AD32" s="43" t="s">
        <v>109</v>
      </c>
      <c r="AE32" s="23">
        <f t="shared" si="0"/>
        <v>1</v>
      </c>
      <c r="AF32" s="23" t="e">
        <f t="shared" si="1"/>
        <v>#DIV/0!</v>
      </c>
      <c r="AG32" s="10">
        <f t="shared" si="2"/>
        <v>0.75</v>
      </c>
      <c r="AH32" s="10">
        <f t="shared" si="3"/>
        <v>1</v>
      </c>
      <c r="AI32" s="8">
        <f t="shared" si="4"/>
        <v>0.8571428571428571</v>
      </c>
    </row>
    <row r="33" spans="1:35" ht="15" customHeight="1" thickBot="1">
      <c r="A33" s="59">
        <v>30</v>
      </c>
      <c r="B33" s="85" t="str">
        <f>'1.HAFTA'!B33</f>
        <v>Yusuf Emin Doğan</v>
      </c>
      <c r="C33" s="43" t="s">
        <v>109</v>
      </c>
      <c r="D33" s="43">
        <v>1</v>
      </c>
      <c r="E33" s="43">
        <v>1</v>
      </c>
      <c r="F33" s="43" t="s">
        <v>109</v>
      </c>
      <c r="G33" s="43">
        <v>1</v>
      </c>
      <c r="H33" s="43" t="s">
        <v>109</v>
      </c>
      <c r="I33" s="43" t="s">
        <v>109</v>
      </c>
      <c r="J33" s="43"/>
      <c r="K33" s="43"/>
      <c r="L33" s="43"/>
      <c r="M33" s="43"/>
      <c r="N33" s="43"/>
      <c r="O33" s="43"/>
      <c r="P33" s="43"/>
      <c r="Q33" s="43">
        <v>0</v>
      </c>
      <c r="R33" s="43">
        <v>0</v>
      </c>
      <c r="S33" s="43">
        <v>0</v>
      </c>
      <c r="T33" s="43">
        <v>0</v>
      </c>
      <c r="U33" s="43" t="s">
        <v>109</v>
      </c>
      <c r="V33" s="43" t="s">
        <v>109</v>
      </c>
      <c r="W33" s="43" t="s">
        <v>109</v>
      </c>
      <c r="X33" s="43" t="s">
        <v>109</v>
      </c>
      <c r="Y33" s="43" t="s">
        <v>109</v>
      </c>
      <c r="Z33" s="43">
        <v>0</v>
      </c>
      <c r="AA33" s="43">
        <v>0</v>
      </c>
      <c r="AB33" s="43" t="s">
        <v>109</v>
      </c>
      <c r="AC33" s="43" t="s">
        <v>109</v>
      </c>
      <c r="AD33" s="43" t="s">
        <v>109</v>
      </c>
      <c r="AE33" s="23">
        <f t="shared" si="0"/>
        <v>1</v>
      </c>
      <c r="AF33" s="23" t="e">
        <f t="shared" si="1"/>
        <v>#DIV/0!</v>
      </c>
      <c r="AG33" s="10">
        <f t="shared" si="2"/>
        <v>0</v>
      </c>
      <c r="AH33" s="10">
        <f t="shared" si="3"/>
        <v>0</v>
      </c>
      <c r="AI33" s="8">
        <f t="shared" si="4"/>
        <v>0.42857142857142855</v>
      </c>
    </row>
    <row r="34" spans="1:35" ht="15" customHeight="1">
      <c r="A34" s="4">
        <v>31</v>
      </c>
      <c r="B34" s="85" t="str">
        <f>'1.HAFTA'!B34</f>
        <v>Ahmet Doğan</v>
      </c>
      <c r="C34" s="43" t="s">
        <v>109</v>
      </c>
      <c r="D34" s="43">
        <v>1</v>
      </c>
      <c r="E34" s="43">
        <v>1</v>
      </c>
      <c r="F34" s="43" t="s">
        <v>109</v>
      </c>
      <c r="G34" s="43">
        <v>1</v>
      </c>
      <c r="H34" s="43" t="s">
        <v>109</v>
      </c>
      <c r="I34" s="43" t="s">
        <v>109</v>
      </c>
      <c r="J34" s="43"/>
      <c r="K34" s="43"/>
      <c r="L34" s="43"/>
      <c r="M34" s="43"/>
      <c r="N34" s="43"/>
      <c r="O34" s="43"/>
      <c r="P34" s="43"/>
      <c r="Q34" s="43">
        <v>1</v>
      </c>
      <c r="R34" s="43">
        <v>1</v>
      </c>
      <c r="S34" s="43">
        <v>1</v>
      </c>
      <c r="T34" s="43">
        <v>1</v>
      </c>
      <c r="U34" s="43" t="s">
        <v>109</v>
      </c>
      <c r="V34" s="43" t="s">
        <v>109</v>
      </c>
      <c r="W34" s="43" t="s">
        <v>109</v>
      </c>
      <c r="X34" s="43" t="s">
        <v>109</v>
      </c>
      <c r="Y34" s="43" t="s">
        <v>109</v>
      </c>
      <c r="Z34" s="43">
        <v>1</v>
      </c>
      <c r="AA34" s="43">
        <v>1</v>
      </c>
      <c r="AB34" s="43" t="s">
        <v>109</v>
      </c>
      <c r="AC34" s="43" t="s">
        <v>109</v>
      </c>
      <c r="AD34" s="43" t="s">
        <v>109</v>
      </c>
      <c r="AE34" s="23">
        <f t="shared" ref="AE34:AE58" si="5">AVERAGE(C34:I34)</f>
        <v>1</v>
      </c>
      <c r="AF34" s="23" t="e">
        <f t="shared" si="1"/>
        <v>#DIV/0!</v>
      </c>
      <c r="AG34" s="10">
        <f t="shared" si="2"/>
        <v>1</v>
      </c>
      <c r="AH34" s="10">
        <f t="shared" si="3"/>
        <v>1</v>
      </c>
      <c r="AI34" s="8">
        <f t="shared" si="4"/>
        <v>1</v>
      </c>
    </row>
    <row r="35" spans="1:35" ht="15" customHeight="1">
      <c r="A35" s="3">
        <v>32</v>
      </c>
      <c r="B35" s="85" t="str">
        <f>'1.HAFTA'!B35</f>
        <v>Cihan Boorsma</v>
      </c>
      <c r="C35" s="43" t="s">
        <v>109</v>
      </c>
      <c r="D35" s="43">
        <v>1</v>
      </c>
      <c r="E35" s="43" t="s">
        <v>109</v>
      </c>
      <c r="F35" s="43" t="s">
        <v>109</v>
      </c>
      <c r="G35" s="43">
        <v>1</v>
      </c>
      <c r="H35" s="43" t="s">
        <v>109</v>
      </c>
      <c r="I35" s="43" t="s">
        <v>109</v>
      </c>
      <c r="J35" s="43"/>
      <c r="K35" s="43"/>
      <c r="L35" s="43"/>
      <c r="M35" s="43"/>
      <c r="N35" s="43"/>
      <c r="O35" s="43"/>
      <c r="P35" s="43"/>
      <c r="Q35" s="43">
        <v>1</v>
      </c>
      <c r="R35" s="43">
        <v>1</v>
      </c>
      <c r="S35" s="43">
        <v>1</v>
      </c>
      <c r="T35" s="43">
        <v>0</v>
      </c>
      <c r="U35" s="43" t="s">
        <v>109</v>
      </c>
      <c r="V35" s="43" t="s">
        <v>109</v>
      </c>
      <c r="W35" s="43" t="s">
        <v>109</v>
      </c>
      <c r="X35" s="43" t="s">
        <v>109</v>
      </c>
      <c r="Y35" s="43" t="s">
        <v>109</v>
      </c>
      <c r="Z35" s="43">
        <v>1</v>
      </c>
      <c r="AA35" s="43">
        <v>1</v>
      </c>
      <c r="AB35" s="43" t="s">
        <v>109</v>
      </c>
      <c r="AC35" s="43" t="s">
        <v>109</v>
      </c>
      <c r="AD35" s="43" t="s">
        <v>109</v>
      </c>
      <c r="AE35" s="23">
        <f t="shared" si="5"/>
        <v>1</v>
      </c>
      <c r="AF35" s="23" t="e">
        <f t="shared" si="1"/>
        <v>#DIV/0!</v>
      </c>
      <c r="AG35" s="10">
        <f t="shared" si="2"/>
        <v>0.75</v>
      </c>
      <c r="AH35" s="10">
        <f t="shared" si="3"/>
        <v>1</v>
      </c>
      <c r="AI35" s="8">
        <f t="shared" si="4"/>
        <v>0.83333333333333337</v>
      </c>
    </row>
    <row r="36" spans="1:35" ht="15" customHeight="1" thickBot="1">
      <c r="A36" s="59">
        <v>33</v>
      </c>
      <c r="B36" s="85" t="str">
        <f>'1.HAFTA'!B36</f>
        <v>Mehmethan Gür</v>
      </c>
      <c r="C36" s="43" t="s">
        <v>109</v>
      </c>
      <c r="D36" s="43">
        <v>1</v>
      </c>
      <c r="E36" s="43">
        <v>1</v>
      </c>
      <c r="F36" s="43" t="s">
        <v>109</v>
      </c>
      <c r="G36" s="43">
        <v>1</v>
      </c>
      <c r="H36" s="43" t="s">
        <v>109</v>
      </c>
      <c r="I36" s="43" t="s">
        <v>109</v>
      </c>
      <c r="J36" s="43"/>
      <c r="K36" s="43"/>
      <c r="L36" s="43"/>
      <c r="M36" s="43"/>
      <c r="N36" s="43"/>
      <c r="O36" s="43"/>
      <c r="P36" s="43"/>
      <c r="Q36" s="43">
        <v>0</v>
      </c>
      <c r="R36" s="43">
        <v>0</v>
      </c>
      <c r="S36" s="43">
        <v>1</v>
      </c>
      <c r="T36" s="43">
        <v>1</v>
      </c>
      <c r="U36" s="43" t="s">
        <v>109</v>
      </c>
      <c r="V36" s="43" t="s">
        <v>109</v>
      </c>
      <c r="W36" s="43" t="s">
        <v>109</v>
      </c>
      <c r="X36" s="43" t="s">
        <v>109</v>
      </c>
      <c r="Y36" s="43" t="s">
        <v>109</v>
      </c>
      <c r="Z36" s="43">
        <v>1</v>
      </c>
      <c r="AA36" s="43">
        <v>1</v>
      </c>
      <c r="AB36" s="43" t="s">
        <v>109</v>
      </c>
      <c r="AC36" s="43" t="s">
        <v>109</v>
      </c>
      <c r="AD36" s="43" t="s">
        <v>109</v>
      </c>
      <c r="AE36" s="23">
        <f t="shared" si="5"/>
        <v>1</v>
      </c>
      <c r="AF36" s="23" t="e">
        <f t="shared" si="1"/>
        <v>#DIV/0!</v>
      </c>
      <c r="AG36" s="10">
        <f t="shared" si="2"/>
        <v>0.5</v>
      </c>
      <c r="AH36" s="10">
        <f t="shared" si="3"/>
        <v>1</v>
      </c>
      <c r="AI36" s="8">
        <f t="shared" si="4"/>
        <v>0.7142857142857143</v>
      </c>
    </row>
    <row r="37" spans="1:35" ht="15" customHeight="1">
      <c r="A37" s="4">
        <v>34</v>
      </c>
      <c r="B37" s="85" t="str">
        <f>'1.HAFTA'!B37</f>
        <v>Melih Taş</v>
      </c>
      <c r="C37" s="43" t="s">
        <v>109</v>
      </c>
      <c r="D37" s="43">
        <v>1</v>
      </c>
      <c r="E37" s="43">
        <v>1</v>
      </c>
      <c r="F37" s="43" t="s">
        <v>109</v>
      </c>
      <c r="G37" s="43">
        <v>1</v>
      </c>
      <c r="H37" s="43" t="s">
        <v>109</v>
      </c>
      <c r="I37" s="43" t="s">
        <v>109</v>
      </c>
      <c r="J37" s="43"/>
      <c r="K37" s="43"/>
      <c r="L37" s="43"/>
      <c r="M37" s="43"/>
      <c r="N37" s="43"/>
      <c r="O37" s="43"/>
      <c r="P37" s="43"/>
      <c r="Q37" s="43">
        <v>0</v>
      </c>
      <c r="R37" s="43">
        <v>0</v>
      </c>
      <c r="S37" s="43">
        <v>0</v>
      </c>
      <c r="T37" s="43" t="s">
        <v>109</v>
      </c>
      <c r="U37" s="43" t="s">
        <v>109</v>
      </c>
      <c r="V37" s="43" t="s">
        <v>109</v>
      </c>
      <c r="W37" s="43" t="s">
        <v>109</v>
      </c>
      <c r="X37" s="43" t="s">
        <v>109</v>
      </c>
      <c r="Y37" s="43" t="s">
        <v>109</v>
      </c>
      <c r="Z37" s="43">
        <v>1</v>
      </c>
      <c r="AA37" s="43" t="s">
        <v>109</v>
      </c>
      <c r="AB37" s="43" t="s">
        <v>109</v>
      </c>
      <c r="AC37" s="43" t="s">
        <v>109</v>
      </c>
      <c r="AD37" s="43" t="s">
        <v>109</v>
      </c>
      <c r="AE37" s="23">
        <f t="shared" si="5"/>
        <v>1</v>
      </c>
      <c r="AF37" s="23" t="e">
        <f t="shared" si="1"/>
        <v>#DIV/0!</v>
      </c>
      <c r="AG37" s="10">
        <f t="shared" si="2"/>
        <v>0</v>
      </c>
      <c r="AH37" s="10">
        <f t="shared" si="3"/>
        <v>1</v>
      </c>
      <c r="AI37" s="8">
        <f t="shared" si="4"/>
        <v>0.5</v>
      </c>
    </row>
    <row r="38" spans="1:35" ht="15" customHeight="1">
      <c r="A38" s="3">
        <v>35</v>
      </c>
      <c r="B38" s="85" t="str">
        <f>'1.HAFTA'!B38</f>
        <v>Melih Uzun</v>
      </c>
      <c r="C38" s="43" t="s">
        <v>109</v>
      </c>
      <c r="D38" s="43">
        <v>1</v>
      </c>
      <c r="E38" s="43" t="s">
        <v>109</v>
      </c>
      <c r="F38" s="43" t="s">
        <v>109</v>
      </c>
      <c r="G38" s="43">
        <v>1</v>
      </c>
      <c r="H38" s="43" t="s">
        <v>109</v>
      </c>
      <c r="I38" s="43" t="s">
        <v>109</v>
      </c>
      <c r="J38" s="43"/>
      <c r="K38" s="43"/>
      <c r="L38" s="43"/>
      <c r="M38" s="43"/>
      <c r="N38" s="43"/>
      <c r="O38" s="43"/>
      <c r="P38" s="43"/>
      <c r="Q38" s="43">
        <v>1</v>
      </c>
      <c r="R38" s="43">
        <v>1</v>
      </c>
      <c r="S38" s="43">
        <v>1</v>
      </c>
      <c r="T38" s="43">
        <v>1</v>
      </c>
      <c r="U38" s="43" t="s">
        <v>109</v>
      </c>
      <c r="V38" s="43" t="s">
        <v>109</v>
      </c>
      <c r="W38" s="43" t="s">
        <v>109</v>
      </c>
      <c r="X38" s="43" t="s">
        <v>109</v>
      </c>
      <c r="Y38" s="43" t="s">
        <v>109</v>
      </c>
      <c r="Z38" s="43">
        <v>0</v>
      </c>
      <c r="AA38" s="43">
        <v>1</v>
      </c>
      <c r="AB38" s="43" t="s">
        <v>109</v>
      </c>
      <c r="AC38" s="43" t="s">
        <v>109</v>
      </c>
      <c r="AD38" s="43" t="s">
        <v>109</v>
      </c>
      <c r="AE38" s="23">
        <f t="shared" si="5"/>
        <v>1</v>
      </c>
      <c r="AF38" s="23" t="e">
        <f t="shared" si="1"/>
        <v>#DIV/0!</v>
      </c>
      <c r="AG38" s="10">
        <f t="shared" si="2"/>
        <v>1</v>
      </c>
      <c r="AH38" s="10">
        <f t="shared" si="3"/>
        <v>0.5</v>
      </c>
      <c r="AI38" s="8">
        <f t="shared" si="4"/>
        <v>1</v>
      </c>
    </row>
    <row r="39" spans="1:35" ht="15" customHeight="1" thickBot="1">
      <c r="A39" s="59">
        <v>36</v>
      </c>
      <c r="B39" s="85" t="str">
        <f>'1.HAFTA'!B39</f>
        <v>Mucahit Kan</v>
      </c>
      <c r="C39" s="43" t="s">
        <v>109</v>
      </c>
      <c r="D39" s="43">
        <v>0</v>
      </c>
      <c r="E39" s="43" t="s">
        <v>109</v>
      </c>
      <c r="F39" s="43" t="s">
        <v>109</v>
      </c>
      <c r="G39" s="43">
        <v>0</v>
      </c>
      <c r="H39" s="43" t="s">
        <v>109</v>
      </c>
      <c r="I39" s="43" t="s">
        <v>109</v>
      </c>
      <c r="J39" s="43"/>
      <c r="K39" s="43"/>
      <c r="L39" s="43"/>
      <c r="M39" s="43"/>
      <c r="N39" s="43"/>
      <c r="O39" s="43"/>
      <c r="P39" s="43"/>
      <c r="Q39" s="43">
        <v>0</v>
      </c>
      <c r="R39" s="43">
        <v>0</v>
      </c>
      <c r="S39" s="43">
        <v>0</v>
      </c>
      <c r="T39" s="43">
        <v>0</v>
      </c>
      <c r="U39" s="43" t="s">
        <v>109</v>
      </c>
      <c r="V39" s="43" t="s">
        <v>109</v>
      </c>
      <c r="W39" s="43" t="s">
        <v>109</v>
      </c>
      <c r="X39" s="43" t="s">
        <v>109</v>
      </c>
      <c r="Y39" s="43" t="s">
        <v>109</v>
      </c>
      <c r="Z39" s="43">
        <v>1</v>
      </c>
      <c r="AA39" s="43">
        <v>1</v>
      </c>
      <c r="AB39" s="43" t="s">
        <v>109</v>
      </c>
      <c r="AC39" s="43" t="s">
        <v>109</v>
      </c>
      <c r="AD39" s="43" t="s">
        <v>109</v>
      </c>
      <c r="AE39" s="23">
        <f t="shared" si="5"/>
        <v>0</v>
      </c>
      <c r="AF39" s="23" t="e">
        <f t="shared" si="1"/>
        <v>#DIV/0!</v>
      </c>
      <c r="AG39" s="10">
        <f t="shared" si="2"/>
        <v>0</v>
      </c>
      <c r="AH39" s="10">
        <f t="shared" si="3"/>
        <v>1</v>
      </c>
      <c r="AI39" s="8">
        <f t="shared" si="4"/>
        <v>0</v>
      </c>
    </row>
    <row r="40" spans="1:35" ht="15" customHeight="1">
      <c r="A40" s="4">
        <v>37</v>
      </c>
      <c r="B40" s="85" t="str">
        <f>'1.HAFTA'!B40</f>
        <v>Oğuzhan Üzümcü</v>
      </c>
      <c r="C40" s="43" t="s">
        <v>109</v>
      </c>
      <c r="D40" s="43">
        <v>1</v>
      </c>
      <c r="E40" s="43">
        <v>1</v>
      </c>
      <c r="F40" s="43" t="s">
        <v>109</v>
      </c>
      <c r="G40" s="43">
        <v>1</v>
      </c>
      <c r="H40" s="43" t="s">
        <v>109</v>
      </c>
      <c r="I40" s="43" t="s">
        <v>109</v>
      </c>
      <c r="J40" s="43"/>
      <c r="K40" s="43"/>
      <c r="L40" s="43"/>
      <c r="M40" s="43"/>
      <c r="N40" s="43"/>
      <c r="O40" s="43"/>
      <c r="P40" s="43"/>
      <c r="Q40" s="43">
        <v>1</v>
      </c>
      <c r="R40" s="43">
        <v>1</v>
      </c>
      <c r="S40" s="43">
        <v>0</v>
      </c>
      <c r="T40" s="43">
        <v>1</v>
      </c>
      <c r="U40" s="43" t="s">
        <v>109</v>
      </c>
      <c r="V40" s="43" t="s">
        <v>109</v>
      </c>
      <c r="W40" s="43" t="s">
        <v>109</v>
      </c>
      <c r="X40" s="43" t="s">
        <v>109</v>
      </c>
      <c r="Y40" s="43" t="s">
        <v>109</v>
      </c>
      <c r="Z40" s="43">
        <v>1</v>
      </c>
      <c r="AA40" s="43">
        <v>1</v>
      </c>
      <c r="AB40" s="43" t="s">
        <v>109</v>
      </c>
      <c r="AC40" s="43" t="s">
        <v>109</v>
      </c>
      <c r="AD40" s="43" t="s">
        <v>109</v>
      </c>
      <c r="AE40" s="23">
        <f t="shared" si="5"/>
        <v>1</v>
      </c>
      <c r="AF40" s="23" t="e">
        <f t="shared" si="1"/>
        <v>#DIV/0!</v>
      </c>
      <c r="AG40" s="10">
        <f t="shared" si="2"/>
        <v>0.75</v>
      </c>
      <c r="AH40" s="10">
        <f t="shared" si="3"/>
        <v>1</v>
      </c>
      <c r="AI40" s="8">
        <f t="shared" si="4"/>
        <v>0.8571428571428571</v>
      </c>
    </row>
    <row r="41" spans="1:35" ht="15" customHeight="1">
      <c r="A41" s="3">
        <v>38</v>
      </c>
      <c r="B41" s="85" t="str">
        <f>'1.HAFTA'!B41</f>
        <v>Orhan Boyacıoğlu</v>
      </c>
      <c r="C41" s="43" t="s">
        <v>109</v>
      </c>
      <c r="D41" s="43">
        <v>1</v>
      </c>
      <c r="E41" s="43" t="s">
        <v>109</v>
      </c>
      <c r="F41" s="43" t="s">
        <v>109</v>
      </c>
      <c r="G41" s="43" t="s">
        <v>109</v>
      </c>
      <c r="H41" s="43" t="s">
        <v>109</v>
      </c>
      <c r="I41" s="43" t="s">
        <v>109</v>
      </c>
      <c r="J41" s="43"/>
      <c r="K41" s="43"/>
      <c r="L41" s="43"/>
      <c r="M41" s="43"/>
      <c r="N41" s="43"/>
      <c r="O41" s="43"/>
      <c r="P41" s="43"/>
      <c r="Q41" s="43">
        <v>1</v>
      </c>
      <c r="R41" s="43" t="s">
        <v>109</v>
      </c>
      <c r="S41" s="43">
        <v>1</v>
      </c>
      <c r="T41" s="43">
        <v>1</v>
      </c>
      <c r="U41" s="43" t="s">
        <v>109</v>
      </c>
      <c r="V41" s="43" t="s">
        <v>109</v>
      </c>
      <c r="W41" s="43" t="s">
        <v>109</v>
      </c>
      <c r="X41" s="43" t="s">
        <v>109</v>
      </c>
      <c r="Y41" s="43" t="s">
        <v>109</v>
      </c>
      <c r="Z41" s="43">
        <v>1</v>
      </c>
      <c r="AA41" s="43">
        <v>1</v>
      </c>
      <c r="AB41" s="43" t="s">
        <v>109</v>
      </c>
      <c r="AC41" s="43" t="s">
        <v>109</v>
      </c>
      <c r="AD41" s="43" t="s">
        <v>109</v>
      </c>
      <c r="AE41" s="23">
        <f t="shared" si="5"/>
        <v>1</v>
      </c>
      <c r="AF41" s="23" t="e">
        <f t="shared" si="1"/>
        <v>#DIV/0!</v>
      </c>
      <c r="AG41" s="10">
        <f t="shared" si="2"/>
        <v>1</v>
      </c>
      <c r="AH41" s="10">
        <f t="shared" si="3"/>
        <v>1</v>
      </c>
      <c r="AI41" s="8">
        <f t="shared" si="4"/>
        <v>1</v>
      </c>
    </row>
    <row r="42" spans="1:35" ht="15" customHeight="1" thickBot="1">
      <c r="A42" s="59">
        <v>39</v>
      </c>
      <c r="B42" s="85" t="str">
        <f>'1.HAFTA'!B42</f>
        <v>Osman Sevilir</v>
      </c>
      <c r="C42" s="43" t="s">
        <v>109</v>
      </c>
      <c r="D42" s="43">
        <v>0</v>
      </c>
      <c r="E42" s="43" t="s">
        <v>109</v>
      </c>
      <c r="F42" s="43" t="s">
        <v>109</v>
      </c>
      <c r="G42" s="43">
        <v>0</v>
      </c>
      <c r="H42" s="43" t="s">
        <v>109</v>
      </c>
      <c r="I42" s="43" t="s">
        <v>109</v>
      </c>
      <c r="J42" s="43"/>
      <c r="K42" s="43"/>
      <c r="L42" s="43"/>
      <c r="M42" s="43"/>
      <c r="N42" s="43"/>
      <c r="O42" s="43"/>
      <c r="P42" s="43"/>
      <c r="Q42" s="43">
        <v>0</v>
      </c>
      <c r="R42" s="43">
        <v>0</v>
      </c>
      <c r="S42" s="43">
        <v>0</v>
      </c>
      <c r="T42" s="43">
        <v>0</v>
      </c>
      <c r="U42" s="43" t="s">
        <v>109</v>
      </c>
      <c r="V42" s="43" t="s">
        <v>109</v>
      </c>
      <c r="W42" s="43" t="s">
        <v>109</v>
      </c>
      <c r="X42" s="43" t="s">
        <v>109</v>
      </c>
      <c r="Y42" s="43" t="s">
        <v>109</v>
      </c>
      <c r="Z42" s="43">
        <v>0</v>
      </c>
      <c r="AA42" s="43">
        <v>0</v>
      </c>
      <c r="AB42" s="43" t="s">
        <v>109</v>
      </c>
      <c r="AC42" s="43" t="s">
        <v>109</v>
      </c>
      <c r="AD42" s="43" t="s">
        <v>109</v>
      </c>
      <c r="AE42" s="23">
        <f t="shared" si="5"/>
        <v>0</v>
      </c>
      <c r="AF42" s="23" t="e">
        <f t="shared" si="1"/>
        <v>#DIV/0!</v>
      </c>
      <c r="AG42" s="10">
        <f t="shared" si="2"/>
        <v>0</v>
      </c>
      <c r="AH42" s="10">
        <f t="shared" si="3"/>
        <v>0</v>
      </c>
      <c r="AI42" s="8">
        <f t="shared" si="4"/>
        <v>0</v>
      </c>
    </row>
    <row r="43" spans="1:35" ht="15" customHeight="1">
      <c r="A43" s="4">
        <v>40</v>
      </c>
      <c r="B43" s="85" t="str">
        <f>'1.HAFTA'!B43</f>
        <v>Salih Gedik</v>
      </c>
      <c r="C43" s="43" t="s">
        <v>109</v>
      </c>
      <c r="D43" s="43">
        <v>1</v>
      </c>
      <c r="E43" s="43">
        <v>1</v>
      </c>
      <c r="F43" s="43" t="s">
        <v>109</v>
      </c>
      <c r="G43" s="43">
        <v>1</v>
      </c>
      <c r="H43" s="43" t="s">
        <v>109</v>
      </c>
      <c r="I43" s="43" t="s">
        <v>109</v>
      </c>
      <c r="J43" s="43"/>
      <c r="K43" s="43"/>
      <c r="L43" s="43"/>
      <c r="M43" s="43"/>
      <c r="N43" s="43"/>
      <c r="O43" s="43"/>
      <c r="P43" s="43"/>
      <c r="Q43" s="43">
        <v>0</v>
      </c>
      <c r="R43" s="43">
        <v>1</v>
      </c>
      <c r="S43" s="43">
        <v>0</v>
      </c>
      <c r="T43" s="43">
        <v>0</v>
      </c>
      <c r="U43" s="43" t="s">
        <v>109</v>
      </c>
      <c r="V43" s="43" t="s">
        <v>109</v>
      </c>
      <c r="W43" s="43" t="s">
        <v>109</v>
      </c>
      <c r="X43" s="43" t="s">
        <v>109</v>
      </c>
      <c r="Y43" s="43" t="s">
        <v>109</v>
      </c>
      <c r="Z43" s="43">
        <v>1</v>
      </c>
      <c r="AA43" s="43">
        <v>1</v>
      </c>
      <c r="AB43" s="43" t="s">
        <v>109</v>
      </c>
      <c r="AC43" s="43" t="s">
        <v>109</v>
      </c>
      <c r="AD43" s="43" t="s">
        <v>109</v>
      </c>
      <c r="AE43" s="23">
        <f t="shared" si="5"/>
        <v>1</v>
      </c>
      <c r="AF43" s="23" t="e">
        <f t="shared" si="1"/>
        <v>#DIV/0!</v>
      </c>
      <c r="AG43" s="10">
        <f t="shared" si="2"/>
        <v>0.25</v>
      </c>
      <c r="AH43" s="10">
        <f t="shared" si="3"/>
        <v>1</v>
      </c>
      <c r="AI43" s="8">
        <f t="shared" si="4"/>
        <v>0.5714285714285714</v>
      </c>
    </row>
    <row r="44" spans="1:35" ht="15" customHeight="1">
      <c r="A44" s="3">
        <v>41</v>
      </c>
      <c r="B44" s="85" t="str">
        <f>'1.HAFTA'!B44</f>
        <v>Usame Alışkan</v>
      </c>
      <c r="C44" s="43" t="s">
        <v>109</v>
      </c>
      <c r="D44" s="43">
        <v>1</v>
      </c>
      <c r="E44" s="43">
        <v>1</v>
      </c>
      <c r="F44" s="43" t="s">
        <v>109</v>
      </c>
      <c r="G44" s="43">
        <v>1</v>
      </c>
      <c r="H44" s="43" t="s">
        <v>109</v>
      </c>
      <c r="I44" s="43" t="s">
        <v>109</v>
      </c>
      <c r="J44" s="43"/>
      <c r="K44" s="43"/>
      <c r="L44" s="43"/>
      <c r="M44" s="43"/>
      <c r="N44" s="43"/>
      <c r="O44" s="43"/>
      <c r="P44" s="43"/>
      <c r="Q44" s="43">
        <v>1</v>
      </c>
      <c r="R44" s="43">
        <v>1</v>
      </c>
      <c r="S44" s="43">
        <v>1</v>
      </c>
      <c r="T44" s="43">
        <v>1</v>
      </c>
      <c r="U44" s="43" t="s">
        <v>109</v>
      </c>
      <c r="V44" s="43" t="s">
        <v>109</v>
      </c>
      <c r="W44" s="43" t="s">
        <v>109</v>
      </c>
      <c r="X44" s="43" t="s">
        <v>109</v>
      </c>
      <c r="Y44" s="43" t="s">
        <v>109</v>
      </c>
      <c r="Z44" s="43">
        <v>1</v>
      </c>
      <c r="AA44" s="43">
        <v>1</v>
      </c>
      <c r="AB44" s="43" t="s">
        <v>109</v>
      </c>
      <c r="AC44" s="43" t="s">
        <v>109</v>
      </c>
      <c r="AD44" s="43" t="s">
        <v>109</v>
      </c>
      <c r="AE44" s="23">
        <f t="shared" si="5"/>
        <v>1</v>
      </c>
      <c r="AF44" s="23" t="e">
        <f t="shared" si="1"/>
        <v>#DIV/0!</v>
      </c>
      <c r="AG44" s="10">
        <f t="shared" si="2"/>
        <v>1</v>
      </c>
      <c r="AH44" s="10">
        <f t="shared" si="3"/>
        <v>1</v>
      </c>
      <c r="AI44" s="8">
        <f t="shared" si="4"/>
        <v>1</v>
      </c>
    </row>
    <row r="45" spans="1:35" ht="15" customHeight="1" thickBot="1">
      <c r="A45" s="59">
        <v>42</v>
      </c>
      <c r="B45" s="84" t="str">
        <f>'1.HAFTA'!B45</f>
        <v>Yusuf Can Nas</v>
      </c>
      <c r="C45" s="43" t="s">
        <v>109</v>
      </c>
      <c r="D45" s="43">
        <v>1</v>
      </c>
      <c r="E45" s="43">
        <v>1</v>
      </c>
      <c r="F45" s="43" t="s">
        <v>109</v>
      </c>
      <c r="G45" s="43">
        <v>1</v>
      </c>
      <c r="H45" s="43" t="s">
        <v>109</v>
      </c>
      <c r="I45" s="43" t="s">
        <v>109</v>
      </c>
      <c r="J45" s="43"/>
      <c r="K45" s="43"/>
      <c r="L45" s="43"/>
      <c r="M45" s="43"/>
      <c r="N45" s="43"/>
      <c r="O45" s="43"/>
      <c r="P45" s="43"/>
      <c r="Q45" s="43">
        <v>0</v>
      </c>
      <c r="R45" s="43">
        <v>1</v>
      </c>
      <c r="S45" s="43">
        <v>0</v>
      </c>
      <c r="T45" s="43">
        <v>0</v>
      </c>
      <c r="U45" s="43" t="s">
        <v>109</v>
      </c>
      <c r="V45" s="43" t="s">
        <v>109</v>
      </c>
      <c r="W45" s="43" t="s">
        <v>109</v>
      </c>
      <c r="X45" s="43" t="s">
        <v>109</v>
      </c>
      <c r="Y45" s="43" t="s">
        <v>109</v>
      </c>
      <c r="Z45" s="43">
        <v>1</v>
      </c>
      <c r="AA45" s="43">
        <v>1</v>
      </c>
      <c r="AB45" s="43" t="s">
        <v>109</v>
      </c>
      <c r="AC45" s="43" t="s">
        <v>109</v>
      </c>
      <c r="AD45" s="43" t="s">
        <v>109</v>
      </c>
      <c r="AE45" s="23">
        <f t="shared" si="5"/>
        <v>1</v>
      </c>
      <c r="AF45" s="23" t="e">
        <f t="shared" si="1"/>
        <v>#DIV/0!</v>
      </c>
      <c r="AG45" s="10">
        <f t="shared" si="2"/>
        <v>0.25</v>
      </c>
      <c r="AH45" s="10">
        <f t="shared" si="3"/>
        <v>1</v>
      </c>
      <c r="AI45" s="8">
        <f t="shared" si="4"/>
        <v>0.5714285714285714</v>
      </c>
    </row>
    <row r="46" spans="1:35" ht="15" customHeight="1">
      <c r="A46" s="4">
        <v>43</v>
      </c>
      <c r="B46" s="47">
        <f>('1.HAFTA'!B46)</f>
        <v>0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23" t="e">
        <f t="shared" si="5"/>
        <v>#DIV/0!</v>
      </c>
      <c r="AF46" s="23" t="e">
        <f t="shared" si="1"/>
        <v>#DIV/0!</v>
      </c>
      <c r="AG46" s="10" t="e">
        <f t="shared" si="2"/>
        <v>#DIV/0!</v>
      </c>
      <c r="AH46" s="10" t="e">
        <f t="shared" si="3"/>
        <v>#DIV/0!</v>
      </c>
      <c r="AI46" s="8" t="e">
        <f t="shared" si="4"/>
        <v>#DIV/0!</v>
      </c>
    </row>
    <row r="47" spans="1:35" ht="15" customHeight="1">
      <c r="A47" s="3">
        <v>44</v>
      </c>
      <c r="B47" s="47">
        <f>('1.HAFTA'!B47)</f>
        <v>0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23" t="e">
        <f t="shared" si="5"/>
        <v>#DIV/0!</v>
      </c>
      <c r="AF47" s="23" t="e">
        <f t="shared" si="1"/>
        <v>#DIV/0!</v>
      </c>
      <c r="AG47" s="10" t="e">
        <f t="shared" si="2"/>
        <v>#DIV/0!</v>
      </c>
      <c r="AH47" s="10" t="e">
        <f t="shared" si="3"/>
        <v>#DIV/0!</v>
      </c>
      <c r="AI47" s="8" t="e">
        <f t="shared" si="4"/>
        <v>#DIV/0!</v>
      </c>
    </row>
    <row r="48" spans="1:35" ht="15" customHeight="1" thickBot="1">
      <c r="A48" s="59">
        <v>45</v>
      </c>
      <c r="B48" s="20">
        <f>('1.HAFTA'!B48)</f>
        <v>0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23" t="e">
        <f t="shared" si="5"/>
        <v>#DIV/0!</v>
      </c>
      <c r="AF48" s="23" t="e">
        <f t="shared" si="1"/>
        <v>#DIV/0!</v>
      </c>
      <c r="AG48" s="10" t="e">
        <f t="shared" si="2"/>
        <v>#DIV/0!</v>
      </c>
      <c r="AH48" s="10" t="e">
        <f t="shared" si="3"/>
        <v>#DIV/0!</v>
      </c>
      <c r="AI48" s="8" t="e">
        <f t="shared" si="4"/>
        <v>#DIV/0!</v>
      </c>
    </row>
    <row r="49" spans="1:35" ht="15" customHeight="1" thickBot="1">
      <c r="A49" s="4">
        <v>46</v>
      </c>
      <c r="B49" s="60">
        <f>('1.HAFTA'!B49)</f>
        <v>0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23" t="e">
        <f t="shared" si="5"/>
        <v>#DIV/0!</v>
      </c>
      <c r="AF49" s="23" t="e">
        <f t="shared" si="1"/>
        <v>#DIV/0!</v>
      </c>
      <c r="AG49" s="10" t="e">
        <f t="shared" si="2"/>
        <v>#DIV/0!</v>
      </c>
      <c r="AH49" s="10" t="e">
        <f t="shared" si="3"/>
        <v>#DIV/0!</v>
      </c>
      <c r="AI49" s="8" t="e">
        <f t="shared" si="4"/>
        <v>#DIV/0!</v>
      </c>
    </row>
    <row r="50" spans="1:35" ht="15" customHeight="1">
      <c r="A50" s="3">
        <v>47</v>
      </c>
      <c r="B50" s="47">
        <f>('1.HAFTA'!B50)</f>
        <v>0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23" t="e">
        <f t="shared" si="5"/>
        <v>#DIV/0!</v>
      </c>
      <c r="AF50" s="23" t="e">
        <f t="shared" si="1"/>
        <v>#DIV/0!</v>
      </c>
      <c r="AG50" s="10" t="e">
        <f t="shared" si="2"/>
        <v>#DIV/0!</v>
      </c>
      <c r="AH50" s="10" t="e">
        <f t="shared" si="3"/>
        <v>#DIV/0!</v>
      </c>
      <c r="AI50" s="8" t="e">
        <f t="shared" si="4"/>
        <v>#DIV/0!</v>
      </c>
    </row>
    <row r="51" spans="1:35" ht="15" customHeight="1" thickBot="1">
      <c r="A51" s="59">
        <v>48</v>
      </c>
      <c r="B51" s="20">
        <f>('1.HAFTA'!B51)</f>
        <v>0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23" t="e">
        <f t="shared" si="5"/>
        <v>#DIV/0!</v>
      </c>
      <c r="AF51" s="23" t="e">
        <f t="shared" si="1"/>
        <v>#DIV/0!</v>
      </c>
      <c r="AG51" s="10" t="e">
        <f t="shared" si="2"/>
        <v>#DIV/0!</v>
      </c>
      <c r="AH51" s="10" t="e">
        <f t="shared" si="3"/>
        <v>#DIV/0!</v>
      </c>
      <c r="AI51" s="8" t="e">
        <f t="shared" si="4"/>
        <v>#DIV/0!</v>
      </c>
    </row>
    <row r="52" spans="1:35" ht="15" customHeight="1">
      <c r="A52" s="4">
        <v>49</v>
      </c>
      <c r="B52" s="20">
        <f>('1.HAFTA'!B52)</f>
        <v>0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23" t="e">
        <f t="shared" si="5"/>
        <v>#DIV/0!</v>
      </c>
      <c r="AF52" s="23" t="e">
        <f t="shared" si="1"/>
        <v>#DIV/0!</v>
      </c>
      <c r="AG52" s="10" t="e">
        <f t="shared" si="2"/>
        <v>#DIV/0!</v>
      </c>
      <c r="AH52" s="10" t="e">
        <f t="shared" si="3"/>
        <v>#DIV/0!</v>
      </c>
      <c r="AI52" s="8" t="e">
        <f t="shared" si="4"/>
        <v>#DIV/0!</v>
      </c>
    </row>
    <row r="53" spans="1:35" ht="15" customHeight="1">
      <c r="A53" s="3">
        <v>50</v>
      </c>
      <c r="B53" s="20">
        <f>('1.HAFTA'!B53)</f>
        <v>0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23" t="e">
        <f t="shared" si="5"/>
        <v>#DIV/0!</v>
      </c>
      <c r="AF53" s="23" t="e">
        <f t="shared" si="1"/>
        <v>#DIV/0!</v>
      </c>
      <c r="AG53" s="10" t="e">
        <f t="shared" si="2"/>
        <v>#DIV/0!</v>
      </c>
      <c r="AH53" s="10" t="e">
        <f t="shared" si="3"/>
        <v>#DIV/0!</v>
      </c>
      <c r="AI53" s="8" t="e">
        <f t="shared" si="4"/>
        <v>#DIV/0!</v>
      </c>
    </row>
    <row r="54" spans="1:35" ht="15" customHeight="1" thickBot="1">
      <c r="A54" s="59">
        <v>51</v>
      </c>
      <c r="B54" s="20">
        <f>('1.HAFTA'!B54)</f>
        <v>0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23" t="e">
        <f t="shared" si="5"/>
        <v>#DIV/0!</v>
      </c>
      <c r="AF54" s="23" t="e">
        <f t="shared" si="1"/>
        <v>#DIV/0!</v>
      </c>
      <c r="AG54" s="10" t="e">
        <f t="shared" si="2"/>
        <v>#DIV/0!</v>
      </c>
      <c r="AH54" s="10" t="e">
        <f t="shared" si="3"/>
        <v>#DIV/0!</v>
      </c>
      <c r="AI54" s="8" t="e">
        <f t="shared" si="4"/>
        <v>#DIV/0!</v>
      </c>
    </row>
    <row r="55" spans="1:35" ht="15" customHeight="1">
      <c r="A55" s="4">
        <v>52</v>
      </c>
      <c r="B55" s="20">
        <f>('1.HAFTA'!B55)</f>
        <v>0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23" t="e">
        <f t="shared" si="5"/>
        <v>#DIV/0!</v>
      </c>
      <c r="AF55" s="23" t="e">
        <f t="shared" si="1"/>
        <v>#DIV/0!</v>
      </c>
      <c r="AG55" s="10" t="e">
        <f t="shared" si="2"/>
        <v>#DIV/0!</v>
      </c>
      <c r="AH55" s="10" t="e">
        <f t="shared" si="3"/>
        <v>#DIV/0!</v>
      </c>
      <c r="AI55" s="8" t="e">
        <f t="shared" si="4"/>
        <v>#DIV/0!</v>
      </c>
    </row>
    <row r="56" spans="1:35" ht="15" customHeight="1">
      <c r="A56" s="3">
        <v>53</v>
      </c>
      <c r="B56" s="20">
        <f>('1.HAFTA'!B56)</f>
        <v>0</v>
      </c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23" t="e">
        <f t="shared" si="5"/>
        <v>#DIV/0!</v>
      </c>
      <c r="AF56" s="23" t="e">
        <f t="shared" si="1"/>
        <v>#DIV/0!</v>
      </c>
      <c r="AG56" s="10" t="e">
        <f t="shared" si="2"/>
        <v>#DIV/0!</v>
      </c>
      <c r="AH56" s="10" t="e">
        <f t="shared" si="3"/>
        <v>#DIV/0!</v>
      </c>
      <c r="AI56" s="8" t="e">
        <f t="shared" si="4"/>
        <v>#DIV/0!</v>
      </c>
    </row>
    <row r="57" spans="1:35" ht="15" customHeight="1" thickBot="1">
      <c r="A57" s="59">
        <v>54</v>
      </c>
      <c r="B57" s="20">
        <f>('1.HAFTA'!B57)</f>
        <v>0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23" t="e">
        <f t="shared" si="5"/>
        <v>#DIV/0!</v>
      </c>
      <c r="AF57" s="23" t="e">
        <f t="shared" si="1"/>
        <v>#DIV/0!</v>
      </c>
      <c r="AG57" s="10" t="e">
        <f t="shared" si="2"/>
        <v>#DIV/0!</v>
      </c>
      <c r="AH57" s="10" t="e">
        <f t="shared" si="3"/>
        <v>#DIV/0!</v>
      </c>
      <c r="AI57" s="8" t="e">
        <f t="shared" si="4"/>
        <v>#DIV/0!</v>
      </c>
    </row>
    <row r="58" spans="1:35" ht="15">
      <c r="A58" s="4">
        <v>55</v>
      </c>
      <c r="B58" s="20" t="s">
        <v>83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23" t="e">
        <f t="shared" si="5"/>
        <v>#DIV/0!</v>
      </c>
      <c r="AF58" s="23" t="e">
        <f t="shared" ref="AF58" si="6">AVERAGE(J58:P58)</f>
        <v>#DIV/0!</v>
      </c>
      <c r="AG58" s="10" t="e">
        <f t="shared" ref="AG58" si="7">AVERAGE(Q58:W58)</f>
        <v>#DIV/0!</v>
      </c>
      <c r="AH58" s="10" t="e">
        <f t="shared" ref="AH58" si="8">AVERAGE(X58:AD58)</f>
        <v>#DIV/0!</v>
      </c>
      <c r="AI58" s="8" t="e">
        <f t="shared" ref="AI58" si="9">AVERAGE(C58:W58)</f>
        <v>#DIV/0!</v>
      </c>
    </row>
  </sheetData>
  <mergeCells count="8">
    <mergeCell ref="A1:AD1"/>
    <mergeCell ref="AE1:AI1"/>
    <mergeCell ref="A2:B2"/>
    <mergeCell ref="C2:I2"/>
    <mergeCell ref="Q2:W2"/>
    <mergeCell ref="X2:AD2"/>
    <mergeCell ref="AE2:AI2"/>
    <mergeCell ref="J2:P2"/>
  </mergeCells>
  <conditionalFormatting sqref="V4:V58 AC4:AD58 C5:C58 X4:X58 C4:AD57">
    <cfRule type="containsText" dxfId="32" priority="1" operator="containsText" text="y">
      <formula>NOT(ISERROR(SEARCH("y",C4)))</formula>
    </cfRule>
    <cfRule type="containsText" dxfId="31" priority="2" operator="containsText" text="o">
      <formula>NOT(ISERROR(SEARCH("o",C4)))</formula>
    </cfRule>
  </conditionalFormatting>
  <conditionalFormatting sqref="C4:AD58">
    <cfRule type="containsText" dxfId="30" priority="3" operator="containsText" text="i">
      <formula>NOT(ISERROR(SEARCH("i",C4)))</formula>
    </cfRule>
    <cfRule type="cellIs" dxfId="29" priority="90" operator="equal">
      <formula>0</formula>
    </cfRule>
    <cfRule type="cellIs" dxfId="28" priority="91" operator="equal">
      <formula>"o"</formula>
    </cfRule>
    <cfRule type="cellIs" dxfId="27" priority="92" operator="equal">
      <formula>"H"</formula>
    </cfRule>
    <cfRule type="cellIs" dxfId="26" priority="93" operator="equal">
      <formula>"i"</formula>
    </cfRule>
    <cfRule type="cellIs" dxfId="25" priority="94" operator="equal">
      <formula>"Y"</formula>
    </cfRule>
    <cfRule type="cellIs" dxfId="24" priority="95" operator="equal">
      <formula>"N"</formula>
    </cfRule>
    <cfRule type="cellIs" dxfId="23" priority="96" operator="equal">
      <formula>"İ"</formula>
    </cfRule>
    <cfRule type="cellIs" dxfId="22" priority="97" operator="equal">
      <formula>"N"</formula>
    </cfRule>
  </conditionalFormatting>
  <conditionalFormatting sqref="C5:C57 N5:N57 V5:V57 X5:X57 AC5:AD57 D47:W48 Y47:AD48 D50:W50 Y50:AD50 D52:W52 Y52:AD52 D54:W54 Y54:AD54 D56:W56 Y56:AD56 D5:AD45">
    <cfRule type="cellIs" dxfId="21" priority="216" operator="equal">
      <formula>"İ"</formula>
    </cfRule>
    <cfRule type="cellIs" dxfId="20" priority="217" operator="equal">
      <formula>"N"</formula>
    </cfRule>
  </conditionalFormatting>
  <conditionalFormatting sqref="AE4:AI58">
    <cfRule type="cellIs" dxfId="19" priority="218" operator="between">
      <formula>0.85</formula>
      <formula>1</formula>
    </cfRule>
    <cfRule type="cellIs" dxfId="18" priority="219" operator="between">
      <formula>0.6</formula>
      <formula>0.85</formula>
    </cfRule>
    <cfRule type="cellIs" dxfId="17" priority="220" operator="between">
      <formula>0</formula>
      <formula>0.6</formula>
    </cfRule>
  </conditionalFormatting>
  <pageMargins left="0.11811023622047245" right="0.11811023622047245" top="0.74803149606299213" bottom="0.74803149606299213" header="0.31496062992125984" footer="0.31496062992125984"/>
  <pageSetup paperSize="9" scale="6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AM58"/>
  <sheetViews>
    <sheetView zoomScale="70" zoomScaleNormal="70" zoomScaleSheetLayoutView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L9" sqref="AL9"/>
    </sheetView>
  </sheetViews>
  <sheetFormatPr defaultColWidth="9.140625" defaultRowHeight="12.75"/>
  <cols>
    <col min="1" max="1" width="4.28515625" style="1" customWidth="1"/>
    <col min="2" max="2" width="26.28515625" style="2" customWidth="1"/>
    <col min="3" max="3" width="8.28515625" style="1" customWidth="1"/>
    <col min="4" max="8" width="8" style="1" customWidth="1"/>
    <col min="9" max="9" width="7.7109375" style="1" customWidth="1"/>
    <col min="10" max="10" width="7.28515625" style="1" hidden="1" customWidth="1"/>
    <col min="11" max="12" width="7.5703125" style="1" hidden="1" customWidth="1"/>
    <col min="13" max="14" width="7.7109375" style="1" hidden="1" customWidth="1"/>
    <col min="15" max="15" width="7.85546875" style="1" hidden="1" customWidth="1"/>
    <col min="16" max="16" width="7.7109375" style="1" hidden="1" customWidth="1"/>
    <col min="17" max="26" width="8" style="1" customWidth="1"/>
    <col min="27" max="30" width="8.140625" style="1" customWidth="1"/>
    <col min="31" max="31" width="7.140625" style="1" customWidth="1"/>
    <col min="32" max="32" width="0.140625" style="1" customWidth="1"/>
    <col min="33" max="33" width="8" style="1" customWidth="1"/>
    <col min="34" max="34" width="7.5703125" style="1" customWidth="1"/>
    <col min="35" max="35" width="7.7109375" style="1" customWidth="1"/>
    <col min="36" max="36" width="9.140625" style="1"/>
    <col min="37" max="37" width="13" style="1" bestFit="1" customWidth="1"/>
    <col min="38" max="38" width="27.85546875" style="1" customWidth="1"/>
    <col min="39" max="39" width="10.42578125" style="1" bestFit="1" customWidth="1"/>
    <col min="40" max="16384" width="9.140625" style="1"/>
  </cols>
  <sheetData>
    <row r="1" spans="1:39" ht="50.1" customHeight="1" thickBot="1">
      <c r="A1" s="113" t="str">
        <f>('1.HAFTA'!A1:AD1)</f>
        <v xml:space="preserve">         TALEBE TAKİP SİSTEMİ 2024-2025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8"/>
      <c r="AE1" s="93" t="str">
        <f>('1.HAFTA'!AE1:AI1)</f>
        <v>Amsterdam Saray</v>
      </c>
      <c r="AF1" s="94"/>
      <c r="AG1" s="94"/>
      <c r="AH1" s="94"/>
      <c r="AI1" s="95"/>
    </row>
    <row r="2" spans="1:39" ht="20.100000000000001" customHeight="1">
      <c r="A2" s="114" t="s">
        <v>23</v>
      </c>
      <c r="B2" s="115"/>
      <c r="C2" s="116" t="s">
        <v>12</v>
      </c>
      <c r="D2" s="117"/>
      <c r="E2" s="117"/>
      <c r="F2" s="117"/>
      <c r="G2" s="117"/>
      <c r="H2" s="117"/>
      <c r="I2" s="118"/>
      <c r="J2" s="110" t="s">
        <v>49</v>
      </c>
      <c r="K2" s="111"/>
      <c r="L2" s="111"/>
      <c r="M2" s="111"/>
      <c r="N2" s="111"/>
      <c r="O2" s="111"/>
      <c r="P2" s="112"/>
      <c r="Q2" s="121" t="s">
        <v>13</v>
      </c>
      <c r="R2" s="122"/>
      <c r="S2" s="122"/>
      <c r="T2" s="122"/>
      <c r="U2" s="122"/>
      <c r="V2" s="122"/>
      <c r="W2" s="122"/>
      <c r="X2" s="119" t="s">
        <v>52</v>
      </c>
      <c r="Y2" s="119"/>
      <c r="Z2" s="119"/>
      <c r="AA2" s="119"/>
      <c r="AB2" s="119"/>
      <c r="AC2" s="119"/>
      <c r="AD2" s="120"/>
      <c r="AE2" s="101" t="s">
        <v>28</v>
      </c>
      <c r="AF2" s="102"/>
      <c r="AG2" s="102"/>
      <c r="AH2" s="102"/>
      <c r="AI2" s="102"/>
    </row>
    <row r="3" spans="1:39" ht="20.100000000000001" customHeight="1">
      <c r="A3" s="5" t="s">
        <v>0</v>
      </c>
      <c r="B3" s="6" t="s">
        <v>1</v>
      </c>
      <c r="C3" s="87" t="s">
        <v>2</v>
      </c>
      <c r="D3" s="87" t="s">
        <v>5</v>
      </c>
      <c r="E3" s="87" t="s">
        <v>6</v>
      </c>
      <c r="F3" s="87" t="s">
        <v>7</v>
      </c>
      <c r="G3" s="87" t="s">
        <v>8</v>
      </c>
      <c r="H3" s="87" t="s">
        <v>27</v>
      </c>
      <c r="I3" s="88" t="s">
        <v>11</v>
      </c>
      <c r="J3" s="41" t="s">
        <v>2</v>
      </c>
      <c r="K3" s="41" t="s">
        <v>5</v>
      </c>
      <c r="L3" s="41" t="s">
        <v>6</v>
      </c>
      <c r="M3" s="41" t="s">
        <v>7</v>
      </c>
      <c r="N3" s="41" t="s">
        <v>8</v>
      </c>
      <c r="O3" s="41" t="s">
        <v>27</v>
      </c>
      <c r="P3" s="42" t="s">
        <v>11</v>
      </c>
      <c r="Q3" s="7" t="s">
        <v>2</v>
      </c>
      <c r="R3" s="7" t="s">
        <v>5</v>
      </c>
      <c r="S3" s="7" t="s">
        <v>6</v>
      </c>
      <c r="T3" s="7" t="s">
        <v>7</v>
      </c>
      <c r="U3" s="7" t="s">
        <v>8</v>
      </c>
      <c r="V3" s="14" t="s">
        <v>27</v>
      </c>
      <c r="W3" s="14" t="s">
        <v>11</v>
      </c>
      <c r="X3" s="24" t="s">
        <v>2</v>
      </c>
      <c r="Y3" s="24" t="s">
        <v>5</v>
      </c>
      <c r="Z3" s="24" t="s">
        <v>6</v>
      </c>
      <c r="AA3" s="24" t="s">
        <v>7</v>
      </c>
      <c r="AB3" s="25" t="s">
        <v>8</v>
      </c>
      <c r="AC3" s="25" t="s">
        <v>27</v>
      </c>
      <c r="AD3" s="25" t="s">
        <v>11</v>
      </c>
      <c r="AE3" s="9" t="s">
        <v>3</v>
      </c>
      <c r="AF3" s="9" t="s">
        <v>41</v>
      </c>
      <c r="AG3" s="9" t="s">
        <v>4</v>
      </c>
      <c r="AH3" s="24" t="s">
        <v>52</v>
      </c>
      <c r="AI3" s="26" t="s">
        <v>9</v>
      </c>
    </row>
    <row r="4" spans="1:39" ht="15" customHeight="1">
      <c r="A4" s="4">
        <v>1</v>
      </c>
      <c r="B4" s="20" t="str">
        <f>'1.HAFTA'!B4</f>
        <v>Abdullah Koşar</v>
      </c>
      <c r="C4" s="21" t="s">
        <v>109</v>
      </c>
      <c r="D4" s="21">
        <v>1</v>
      </c>
      <c r="E4" s="21">
        <v>0</v>
      </c>
      <c r="F4" s="21" t="s">
        <v>109</v>
      </c>
      <c r="G4" s="21" t="s">
        <v>109</v>
      </c>
      <c r="H4" s="21" t="s">
        <v>109</v>
      </c>
      <c r="I4" s="21" t="s">
        <v>109</v>
      </c>
      <c r="J4" s="21"/>
      <c r="K4" s="21"/>
      <c r="L4" s="21"/>
      <c r="M4" s="21"/>
      <c r="N4" s="21"/>
      <c r="O4" s="21"/>
      <c r="P4" s="21"/>
      <c r="Q4" s="21" t="s">
        <v>109</v>
      </c>
      <c r="R4" s="21">
        <v>0</v>
      </c>
      <c r="S4" s="21" t="s">
        <v>109</v>
      </c>
      <c r="T4" s="21" t="s">
        <v>109</v>
      </c>
      <c r="U4" s="21" t="s">
        <v>109</v>
      </c>
      <c r="V4" s="21" t="s">
        <v>109</v>
      </c>
      <c r="W4" s="21" t="s">
        <v>109</v>
      </c>
      <c r="X4" s="21" t="s">
        <v>109</v>
      </c>
      <c r="Y4" s="21" t="s">
        <v>109</v>
      </c>
      <c r="Z4" s="21" t="s">
        <v>109</v>
      </c>
      <c r="AA4" s="21" t="s">
        <v>109</v>
      </c>
      <c r="AB4" s="21" t="s">
        <v>109</v>
      </c>
      <c r="AC4" s="21" t="s">
        <v>109</v>
      </c>
      <c r="AD4" s="21" t="s">
        <v>109</v>
      </c>
      <c r="AE4" s="23">
        <f t="shared" ref="AE4:AE33" si="0">AVERAGE(C4:I4)</f>
        <v>0.5</v>
      </c>
      <c r="AF4" s="23" t="e">
        <f>AVERAGE(J4:P4)</f>
        <v>#DIV/0!</v>
      </c>
      <c r="AG4" s="10">
        <f>AVERAGE(Q4:W4)</f>
        <v>0</v>
      </c>
      <c r="AH4" s="10" t="e">
        <f>AVERAGE(X4:AD4)</f>
        <v>#DIV/0!</v>
      </c>
      <c r="AI4" s="8">
        <f>AVERAGE(C4:W4)</f>
        <v>0.33333333333333331</v>
      </c>
    </row>
    <row r="5" spans="1:39" ht="15" customHeight="1">
      <c r="A5" s="3">
        <v>2</v>
      </c>
      <c r="B5" s="20" t="str">
        <f>'1.HAFTA'!B5</f>
        <v>Ahmet Arif Ozmen</v>
      </c>
      <c r="C5" s="21" t="s">
        <v>109</v>
      </c>
      <c r="D5" s="21" t="s">
        <v>109</v>
      </c>
      <c r="E5" s="21" t="s">
        <v>109</v>
      </c>
      <c r="F5" s="21" t="s">
        <v>109</v>
      </c>
      <c r="G5" s="21" t="s">
        <v>109</v>
      </c>
      <c r="H5" s="21" t="s">
        <v>109</v>
      </c>
      <c r="I5" s="21" t="s">
        <v>109</v>
      </c>
      <c r="J5" s="21"/>
      <c r="K5" s="21"/>
      <c r="L5" s="21"/>
      <c r="M5" s="21"/>
      <c r="N5" s="21"/>
      <c r="O5" s="21"/>
      <c r="P5" s="21"/>
      <c r="Q5" s="21" t="s">
        <v>109</v>
      </c>
      <c r="R5" s="21" t="s">
        <v>109</v>
      </c>
      <c r="S5" s="21" t="s">
        <v>109</v>
      </c>
      <c r="T5" s="21" t="s">
        <v>109</v>
      </c>
      <c r="U5" s="21" t="s">
        <v>109</v>
      </c>
      <c r="V5" s="21" t="s">
        <v>109</v>
      </c>
      <c r="W5" s="21" t="s">
        <v>109</v>
      </c>
      <c r="X5" s="21" t="s">
        <v>109</v>
      </c>
      <c r="Y5" s="21" t="s">
        <v>109</v>
      </c>
      <c r="Z5" s="21" t="s">
        <v>109</v>
      </c>
      <c r="AA5" s="21" t="s">
        <v>109</v>
      </c>
      <c r="AB5" s="21" t="s">
        <v>109</v>
      </c>
      <c r="AC5" s="21" t="s">
        <v>109</v>
      </c>
      <c r="AD5" s="21" t="s">
        <v>109</v>
      </c>
      <c r="AE5" s="23" t="e">
        <f t="shared" si="0"/>
        <v>#DIV/0!</v>
      </c>
      <c r="AF5" s="23" t="e">
        <f t="shared" ref="AF5:AF57" si="1">AVERAGE(J5:P5)</f>
        <v>#DIV/0!</v>
      </c>
      <c r="AG5" s="10" t="e">
        <f t="shared" ref="AG5:AG57" si="2">AVERAGE(Q5:W5)</f>
        <v>#DIV/0!</v>
      </c>
      <c r="AH5" s="10" t="e">
        <f t="shared" ref="AH5:AH57" si="3">AVERAGE(X5:AD5)</f>
        <v>#DIV/0!</v>
      </c>
      <c r="AI5" s="8" t="e">
        <f t="shared" ref="AI5:AI57" si="4">AVERAGE(C5:W5)</f>
        <v>#DIV/0!</v>
      </c>
    </row>
    <row r="6" spans="1:39" ht="15" customHeight="1" thickBot="1">
      <c r="A6" s="59">
        <v>3</v>
      </c>
      <c r="B6" s="20" t="str">
        <f>'1.HAFTA'!B6</f>
        <v>Alihan Uysal</v>
      </c>
      <c r="C6" s="21" t="s">
        <v>109</v>
      </c>
      <c r="D6" s="21">
        <v>1</v>
      </c>
      <c r="E6" s="21">
        <v>1</v>
      </c>
      <c r="F6" s="21">
        <v>1</v>
      </c>
      <c r="G6" s="21" t="s">
        <v>109</v>
      </c>
      <c r="H6" s="21" t="s">
        <v>109</v>
      </c>
      <c r="I6" s="21" t="s">
        <v>109</v>
      </c>
      <c r="J6" s="21"/>
      <c r="K6" s="21"/>
      <c r="L6" s="21"/>
      <c r="M6" s="21"/>
      <c r="N6" s="21"/>
      <c r="O6" s="21"/>
      <c r="P6" s="21"/>
      <c r="Q6" s="21" t="s">
        <v>109</v>
      </c>
      <c r="R6" s="21">
        <v>0</v>
      </c>
      <c r="S6" s="21" t="s">
        <v>109</v>
      </c>
      <c r="T6" s="21" t="s">
        <v>109</v>
      </c>
      <c r="U6" s="21" t="s">
        <v>109</v>
      </c>
      <c r="V6" s="21" t="s">
        <v>109</v>
      </c>
      <c r="W6" s="21" t="s">
        <v>109</v>
      </c>
      <c r="X6" s="21" t="s">
        <v>109</v>
      </c>
      <c r="Y6" s="21" t="s">
        <v>109</v>
      </c>
      <c r="Z6" s="21" t="s">
        <v>109</v>
      </c>
      <c r="AA6" s="21">
        <v>1</v>
      </c>
      <c r="AB6" s="21" t="s">
        <v>109</v>
      </c>
      <c r="AC6" s="21" t="s">
        <v>109</v>
      </c>
      <c r="AD6" s="21" t="s">
        <v>109</v>
      </c>
      <c r="AE6" s="23">
        <f t="shared" si="0"/>
        <v>1</v>
      </c>
      <c r="AF6" s="23" t="e">
        <f t="shared" si="1"/>
        <v>#DIV/0!</v>
      </c>
      <c r="AG6" s="10">
        <f t="shared" si="2"/>
        <v>0</v>
      </c>
      <c r="AH6" s="10">
        <f t="shared" si="3"/>
        <v>1</v>
      </c>
      <c r="AI6" s="8">
        <f t="shared" si="4"/>
        <v>0.75</v>
      </c>
    </row>
    <row r="7" spans="1:39" ht="15" customHeight="1">
      <c r="A7" s="4">
        <v>4</v>
      </c>
      <c r="B7" s="20" t="str">
        <f>'1.HAFTA'!B7</f>
        <v>Ammaar Ahmad</v>
      </c>
      <c r="C7" s="21" t="s">
        <v>109</v>
      </c>
      <c r="D7" s="21">
        <v>1</v>
      </c>
      <c r="E7" s="21">
        <v>1</v>
      </c>
      <c r="F7" s="21">
        <v>1</v>
      </c>
      <c r="G7" s="21" t="s">
        <v>109</v>
      </c>
      <c r="H7" s="21" t="s">
        <v>109</v>
      </c>
      <c r="I7" s="21" t="s">
        <v>109</v>
      </c>
      <c r="J7" s="21"/>
      <c r="K7" s="21"/>
      <c r="L7" s="21"/>
      <c r="M7" s="21"/>
      <c r="N7" s="21"/>
      <c r="O7" s="21"/>
      <c r="P7" s="21"/>
      <c r="Q7" s="21" t="s">
        <v>109</v>
      </c>
      <c r="R7" s="21">
        <v>1</v>
      </c>
      <c r="S7" s="21" t="s">
        <v>109</v>
      </c>
      <c r="T7" s="21" t="s">
        <v>109</v>
      </c>
      <c r="U7" s="21" t="s">
        <v>109</v>
      </c>
      <c r="V7" s="21" t="s">
        <v>109</v>
      </c>
      <c r="W7" s="21" t="s">
        <v>109</v>
      </c>
      <c r="X7" s="21" t="s">
        <v>109</v>
      </c>
      <c r="Y7" s="21" t="s">
        <v>109</v>
      </c>
      <c r="Z7" s="21" t="s">
        <v>109</v>
      </c>
      <c r="AA7" s="21">
        <v>1</v>
      </c>
      <c r="AB7" s="21" t="s">
        <v>109</v>
      </c>
      <c r="AC7" s="21" t="s">
        <v>109</v>
      </c>
      <c r="AD7" s="21" t="s">
        <v>109</v>
      </c>
      <c r="AE7" s="23">
        <f t="shared" si="0"/>
        <v>1</v>
      </c>
      <c r="AF7" s="23" t="e">
        <f t="shared" si="1"/>
        <v>#DIV/0!</v>
      </c>
      <c r="AG7" s="10">
        <f t="shared" si="2"/>
        <v>1</v>
      </c>
      <c r="AH7" s="10">
        <f t="shared" si="3"/>
        <v>1</v>
      </c>
      <c r="AI7" s="8">
        <f t="shared" si="4"/>
        <v>1</v>
      </c>
    </row>
    <row r="8" spans="1:39" ht="15" customHeight="1">
      <c r="A8" s="3">
        <v>5</v>
      </c>
      <c r="B8" s="20" t="str">
        <f>'1.HAFTA'!B8</f>
        <v>Ekrem Altıntaş</v>
      </c>
      <c r="C8" s="21" t="s">
        <v>109</v>
      </c>
      <c r="D8" s="21">
        <v>1</v>
      </c>
      <c r="E8" s="21">
        <v>0</v>
      </c>
      <c r="F8" s="21">
        <v>1</v>
      </c>
      <c r="G8" s="21" t="s">
        <v>109</v>
      </c>
      <c r="H8" s="21" t="s">
        <v>109</v>
      </c>
      <c r="I8" s="21" t="s">
        <v>109</v>
      </c>
      <c r="J8" s="21"/>
      <c r="K8" s="21"/>
      <c r="L8" s="21"/>
      <c r="M8" s="21"/>
      <c r="N8" s="21"/>
      <c r="O8" s="21"/>
      <c r="P8" s="21"/>
      <c r="Q8" s="21" t="s">
        <v>109</v>
      </c>
      <c r="R8" s="21">
        <v>1</v>
      </c>
      <c r="S8" s="21" t="s">
        <v>109</v>
      </c>
      <c r="T8" s="21" t="s">
        <v>109</v>
      </c>
      <c r="U8" s="21" t="s">
        <v>109</v>
      </c>
      <c r="V8" s="21" t="s">
        <v>109</v>
      </c>
      <c r="W8" s="21" t="s">
        <v>109</v>
      </c>
      <c r="X8" s="21" t="s">
        <v>109</v>
      </c>
      <c r="Y8" s="21" t="s">
        <v>109</v>
      </c>
      <c r="Z8" s="21" t="s">
        <v>109</v>
      </c>
      <c r="AA8" s="21">
        <v>1</v>
      </c>
      <c r="AB8" s="21" t="s">
        <v>109</v>
      </c>
      <c r="AC8" s="21" t="s">
        <v>109</v>
      </c>
      <c r="AD8" s="21" t="s">
        <v>109</v>
      </c>
      <c r="AE8" s="23">
        <f t="shared" si="0"/>
        <v>0.66666666666666663</v>
      </c>
      <c r="AF8" s="23" t="e">
        <f t="shared" si="1"/>
        <v>#DIV/0!</v>
      </c>
      <c r="AG8" s="10">
        <f t="shared" si="2"/>
        <v>1</v>
      </c>
      <c r="AH8" s="10">
        <f t="shared" si="3"/>
        <v>1</v>
      </c>
      <c r="AI8" s="8">
        <f t="shared" si="4"/>
        <v>0.75</v>
      </c>
    </row>
    <row r="9" spans="1:39" ht="15" customHeight="1" thickBot="1">
      <c r="A9" s="59">
        <v>6</v>
      </c>
      <c r="B9" s="20" t="str">
        <f>'1.HAFTA'!B9</f>
        <v>Emirhan Sak</v>
      </c>
      <c r="C9" s="21" t="s">
        <v>109</v>
      </c>
      <c r="D9" s="21">
        <v>1</v>
      </c>
      <c r="E9" s="21">
        <v>0</v>
      </c>
      <c r="F9" s="21">
        <v>1</v>
      </c>
      <c r="G9" s="21" t="s">
        <v>109</v>
      </c>
      <c r="H9" s="21" t="s">
        <v>109</v>
      </c>
      <c r="I9" s="21" t="s">
        <v>109</v>
      </c>
      <c r="J9" s="21"/>
      <c r="K9" s="21"/>
      <c r="L9" s="21"/>
      <c r="M9" s="21"/>
      <c r="N9" s="21"/>
      <c r="O9" s="21"/>
      <c r="P9" s="21"/>
      <c r="Q9" s="21" t="s">
        <v>109</v>
      </c>
      <c r="R9" s="21">
        <v>1</v>
      </c>
      <c r="S9" s="21" t="s">
        <v>109</v>
      </c>
      <c r="T9" s="21" t="s">
        <v>109</v>
      </c>
      <c r="U9" s="21" t="s">
        <v>109</v>
      </c>
      <c r="V9" s="21" t="s">
        <v>109</v>
      </c>
      <c r="W9" s="21" t="s">
        <v>109</v>
      </c>
      <c r="X9" s="21" t="s">
        <v>109</v>
      </c>
      <c r="Y9" s="21" t="s">
        <v>109</v>
      </c>
      <c r="Z9" s="21" t="s">
        <v>109</v>
      </c>
      <c r="AA9" s="21">
        <v>1</v>
      </c>
      <c r="AB9" s="21" t="s">
        <v>109</v>
      </c>
      <c r="AC9" s="21" t="s">
        <v>109</v>
      </c>
      <c r="AD9" s="21" t="s">
        <v>109</v>
      </c>
      <c r="AE9" s="23">
        <f t="shared" si="0"/>
        <v>0.66666666666666663</v>
      </c>
      <c r="AF9" s="23" t="e">
        <f t="shared" si="1"/>
        <v>#DIV/0!</v>
      </c>
      <c r="AG9" s="10">
        <f t="shared" si="2"/>
        <v>1</v>
      </c>
      <c r="AH9" s="10">
        <f t="shared" si="3"/>
        <v>1</v>
      </c>
      <c r="AI9" s="8">
        <f t="shared" si="4"/>
        <v>0.75</v>
      </c>
      <c r="AK9" s="79">
        <v>45740</v>
      </c>
      <c r="AL9" s="75">
        <v>45746</v>
      </c>
      <c r="AM9" s="75"/>
    </row>
    <row r="10" spans="1:39" ht="15" customHeight="1">
      <c r="A10" s="4">
        <v>7</v>
      </c>
      <c r="B10" s="20" t="str">
        <f>'1.HAFTA'!B10</f>
        <v>Eymen Göğebakan</v>
      </c>
      <c r="C10" s="21" t="s">
        <v>109</v>
      </c>
      <c r="D10" s="21">
        <v>1</v>
      </c>
      <c r="E10" s="21">
        <v>0</v>
      </c>
      <c r="F10" s="21">
        <v>0</v>
      </c>
      <c r="G10" s="21" t="s">
        <v>109</v>
      </c>
      <c r="H10" s="21" t="s">
        <v>109</v>
      </c>
      <c r="I10" s="21" t="s">
        <v>109</v>
      </c>
      <c r="J10" s="21"/>
      <c r="K10" s="21"/>
      <c r="L10" s="21"/>
      <c r="M10" s="21"/>
      <c r="N10" s="21"/>
      <c r="O10" s="21"/>
      <c r="P10" s="21"/>
      <c r="Q10" s="21" t="s">
        <v>109</v>
      </c>
      <c r="R10" s="21">
        <v>1</v>
      </c>
      <c r="S10" s="21" t="s">
        <v>109</v>
      </c>
      <c r="T10" s="21" t="s">
        <v>109</v>
      </c>
      <c r="U10" s="21" t="s">
        <v>109</v>
      </c>
      <c r="V10" s="21" t="s">
        <v>109</v>
      </c>
      <c r="W10" s="21" t="s">
        <v>109</v>
      </c>
      <c r="X10" s="21" t="s">
        <v>109</v>
      </c>
      <c r="Y10" s="21" t="s">
        <v>109</v>
      </c>
      <c r="Z10" s="21" t="s">
        <v>109</v>
      </c>
      <c r="AA10" s="21" t="s">
        <v>109</v>
      </c>
      <c r="AB10" s="21" t="s">
        <v>109</v>
      </c>
      <c r="AC10" s="21" t="s">
        <v>109</v>
      </c>
      <c r="AD10" s="21" t="s">
        <v>109</v>
      </c>
      <c r="AE10" s="23">
        <f t="shared" si="0"/>
        <v>0.33333333333333331</v>
      </c>
      <c r="AF10" s="23" t="e">
        <f t="shared" si="1"/>
        <v>#DIV/0!</v>
      </c>
      <c r="AG10" s="10">
        <f t="shared" si="2"/>
        <v>1</v>
      </c>
      <c r="AH10" s="10" t="e">
        <f t="shared" si="3"/>
        <v>#DIV/0!</v>
      </c>
      <c r="AI10" s="8">
        <f t="shared" si="4"/>
        <v>0.5</v>
      </c>
    </row>
    <row r="11" spans="1:39" ht="15" customHeight="1">
      <c r="A11" s="3">
        <v>8</v>
      </c>
      <c r="B11" s="20" t="str">
        <f>'1.HAFTA'!B11</f>
        <v>Mehmet Sak</v>
      </c>
      <c r="C11" s="21" t="s">
        <v>109</v>
      </c>
      <c r="D11" s="21">
        <v>1</v>
      </c>
      <c r="E11" s="21">
        <v>1</v>
      </c>
      <c r="F11" s="21">
        <v>1</v>
      </c>
      <c r="G11" s="21" t="s">
        <v>109</v>
      </c>
      <c r="H11" s="21" t="s">
        <v>109</v>
      </c>
      <c r="I11" s="21" t="s">
        <v>109</v>
      </c>
      <c r="J11" s="21"/>
      <c r="K11" s="21"/>
      <c r="L11" s="21"/>
      <c r="M11" s="21"/>
      <c r="N11" s="21"/>
      <c r="O11" s="21"/>
      <c r="P11" s="21"/>
      <c r="Q11" s="21" t="s">
        <v>109</v>
      </c>
      <c r="R11" s="21">
        <v>1</v>
      </c>
      <c r="S11" s="21" t="s">
        <v>109</v>
      </c>
      <c r="T11" s="21" t="s">
        <v>109</v>
      </c>
      <c r="U11" s="21" t="s">
        <v>109</v>
      </c>
      <c r="V11" s="21" t="s">
        <v>109</v>
      </c>
      <c r="W11" s="21" t="s">
        <v>109</v>
      </c>
      <c r="X11" s="21" t="s">
        <v>109</v>
      </c>
      <c r="Y11" s="21" t="s">
        <v>109</v>
      </c>
      <c r="Z11" s="21" t="s">
        <v>109</v>
      </c>
      <c r="AA11" s="21">
        <v>1</v>
      </c>
      <c r="AB11" s="21" t="s">
        <v>109</v>
      </c>
      <c r="AC11" s="21" t="s">
        <v>109</v>
      </c>
      <c r="AD11" s="21" t="s">
        <v>109</v>
      </c>
      <c r="AE11" s="23">
        <f t="shared" si="0"/>
        <v>1</v>
      </c>
      <c r="AF11" s="23" t="e">
        <f t="shared" si="1"/>
        <v>#DIV/0!</v>
      </c>
      <c r="AG11" s="10">
        <f t="shared" si="2"/>
        <v>1</v>
      </c>
      <c r="AH11" s="10">
        <f t="shared" si="3"/>
        <v>1</v>
      </c>
      <c r="AI11" s="8">
        <f t="shared" si="4"/>
        <v>1</v>
      </c>
    </row>
    <row r="12" spans="1:39" ht="15" customHeight="1" thickBot="1">
      <c r="A12" s="59">
        <v>9</v>
      </c>
      <c r="B12" s="20" t="str">
        <f>'1.HAFTA'!B12</f>
        <v>Mohammed Abdi Hakim</v>
      </c>
      <c r="C12" s="21" t="s">
        <v>109</v>
      </c>
      <c r="D12" s="21" t="s">
        <v>109</v>
      </c>
      <c r="E12" s="21">
        <v>1</v>
      </c>
      <c r="F12" s="21">
        <v>1</v>
      </c>
      <c r="G12" s="21" t="s">
        <v>109</v>
      </c>
      <c r="H12" s="21" t="s">
        <v>109</v>
      </c>
      <c r="I12" s="21" t="s">
        <v>109</v>
      </c>
      <c r="J12" s="21"/>
      <c r="K12" s="21"/>
      <c r="L12" s="21"/>
      <c r="M12" s="21"/>
      <c r="N12" s="21"/>
      <c r="O12" s="21"/>
      <c r="P12" s="21"/>
      <c r="Q12" s="21" t="s">
        <v>109</v>
      </c>
      <c r="R12" s="21">
        <v>0</v>
      </c>
      <c r="S12" s="21" t="s">
        <v>109</v>
      </c>
      <c r="T12" s="21" t="s">
        <v>109</v>
      </c>
      <c r="U12" s="21" t="s">
        <v>109</v>
      </c>
      <c r="V12" s="21" t="s">
        <v>109</v>
      </c>
      <c r="W12" s="21" t="s">
        <v>109</v>
      </c>
      <c r="X12" s="21" t="s">
        <v>109</v>
      </c>
      <c r="Y12" s="21" t="s">
        <v>109</v>
      </c>
      <c r="Z12" s="21" t="s">
        <v>109</v>
      </c>
      <c r="AA12" s="21">
        <v>1</v>
      </c>
      <c r="AB12" s="21" t="s">
        <v>109</v>
      </c>
      <c r="AC12" s="21" t="s">
        <v>109</v>
      </c>
      <c r="AD12" s="21" t="s">
        <v>109</v>
      </c>
      <c r="AE12" s="23">
        <f t="shared" si="0"/>
        <v>1</v>
      </c>
      <c r="AF12" s="23" t="e">
        <f t="shared" si="1"/>
        <v>#DIV/0!</v>
      </c>
      <c r="AG12" s="10">
        <f t="shared" si="2"/>
        <v>0</v>
      </c>
      <c r="AH12" s="10">
        <f t="shared" si="3"/>
        <v>1</v>
      </c>
      <c r="AI12" s="8">
        <f t="shared" si="4"/>
        <v>0.66666666666666663</v>
      </c>
    </row>
    <row r="13" spans="1:39" ht="15" customHeight="1">
      <c r="A13" s="4">
        <v>10</v>
      </c>
      <c r="B13" s="20" t="str">
        <f>'1.HAFTA'!B13</f>
        <v>Rıdvan Sönmez</v>
      </c>
      <c r="C13" s="21" t="s">
        <v>109</v>
      </c>
      <c r="D13" s="21">
        <v>1</v>
      </c>
      <c r="E13" s="21">
        <v>0</v>
      </c>
      <c r="F13" s="21">
        <v>1</v>
      </c>
      <c r="G13" s="21" t="s">
        <v>109</v>
      </c>
      <c r="H13" s="21" t="s">
        <v>109</v>
      </c>
      <c r="I13" s="21" t="s">
        <v>109</v>
      </c>
      <c r="J13" s="21"/>
      <c r="K13" s="21"/>
      <c r="L13" s="21"/>
      <c r="M13" s="21"/>
      <c r="N13" s="21"/>
      <c r="O13" s="21"/>
      <c r="P13" s="21"/>
      <c r="Q13" s="21" t="s">
        <v>109</v>
      </c>
      <c r="R13" s="21">
        <v>1</v>
      </c>
      <c r="S13" s="21" t="s">
        <v>109</v>
      </c>
      <c r="T13" s="21" t="s">
        <v>109</v>
      </c>
      <c r="U13" s="21" t="s">
        <v>109</v>
      </c>
      <c r="V13" s="21" t="s">
        <v>109</v>
      </c>
      <c r="W13" s="21" t="s">
        <v>109</v>
      </c>
      <c r="X13" s="21" t="s">
        <v>109</v>
      </c>
      <c r="Y13" s="21" t="s">
        <v>109</v>
      </c>
      <c r="Z13" s="21" t="s">
        <v>109</v>
      </c>
      <c r="AA13" s="21">
        <v>1</v>
      </c>
      <c r="AB13" s="21" t="s">
        <v>109</v>
      </c>
      <c r="AC13" s="21" t="s">
        <v>109</v>
      </c>
      <c r="AD13" s="21" t="s">
        <v>109</v>
      </c>
      <c r="AE13" s="23">
        <f t="shared" si="0"/>
        <v>0.66666666666666663</v>
      </c>
      <c r="AF13" s="23" t="e">
        <f t="shared" si="1"/>
        <v>#DIV/0!</v>
      </c>
      <c r="AG13" s="10">
        <f t="shared" si="2"/>
        <v>1</v>
      </c>
      <c r="AH13" s="10">
        <f t="shared" si="3"/>
        <v>1</v>
      </c>
      <c r="AI13" s="8">
        <f t="shared" si="4"/>
        <v>0.75</v>
      </c>
    </row>
    <row r="14" spans="1:39" ht="15" customHeight="1">
      <c r="A14" s="3">
        <v>11</v>
      </c>
      <c r="B14" s="20" t="str">
        <f>'1.HAFTA'!B14</f>
        <v>Tayyip Sönmez</v>
      </c>
      <c r="C14" s="21" t="s">
        <v>109</v>
      </c>
      <c r="D14" s="21" t="s">
        <v>109</v>
      </c>
      <c r="E14" s="21" t="s">
        <v>109</v>
      </c>
      <c r="F14" s="21" t="s">
        <v>109</v>
      </c>
      <c r="G14" s="21" t="s">
        <v>109</v>
      </c>
      <c r="H14" s="21" t="s">
        <v>109</v>
      </c>
      <c r="I14" s="21" t="s">
        <v>109</v>
      </c>
      <c r="J14" s="21"/>
      <c r="K14" s="21"/>
      <c r="L14" s="21"/>
      <c r="M14" s="21"/>
      <c r="N14" s="21"/>
      <c r="O14" s="21"/>
      <c r="P14" s="21"/>
      <c r="Q14" s="21" t="s">
        <v>109</v>
      </c>
      <c r="R14" s="21" t="s">
        <v>109</v>
      </c>
      <c r="S14" s="21" t="s">
        <v>109</v>
      </c>
      <c r="T14" s="21" t="s">
        <v>109</v>
      </c>
      <c r="U14" s="21" t="s">
        <v>109</v>
      </c>
      <c r="V14" s="21" t="s">
        <v>109</v>
      </c>
      <c r="W14" s="21" t="s">
        <v>109</v>
      </c>
      <c r="X14" s="21" t="s">
        <v>109</v>
      </c>
      <c r="Y14" s="21" t="s">
        <v>109</v>
      </c>
      <c r="Z14" s="21" t="s">
        <v>109</v>
      </c>
      <c r="AA14" s="21" t="s">
        <v>109</v>
      </c>
      <c r="AB14" s="21" t="s">
        <v>109</v>
      </c>
      <c r="AC14" s="21" t="s">
        <v>109</v>
      </c>
      <c r="AD14" s="21" t="s">
        <v>109</v>
      </c>
      <c r="AE14" s="23" t="e">
        <f t="shared" si="0"/>
        <v>#DIV/0!</v>
      </c>
      <c r="AF14" s="23" t="e">
        <f t="shared" si="1"/>
        <v>#DIV/0!</v>
      </c>
      <c r="AG14" s="10" t="e">
        <f t="shared" si="2"/>
        <v>#DIV/0!</v>
      </c>
      <c r="AH14" s="10" t="e">
        <f t="shared" si="3"/>
        <v>#DIV/0!</v>
      </c>
      <c r="AI14" s="8" t="e">
        <f t="shared" si="4"/>
        <v>#DIV/0!</v>
      </c>
    </row>
    <row r="15" spans="1:39" ht="15" customHeight="1" thickBot="1">
      <c r="A15" s="59">
        <v>12</v>
      </c>
      <c r="B15" s="20" t="str">
        <f>'1.HAFTA'!B15</f>
        <v>Waffi Talib</v>
      </c>
      <c r="C15" s="21" t="s">
        <v>109</v>
      </c>
      <c r="D15" s="21" t="s">
        <v>109</v>
      </c>
      <c r="E15" s="21" t="s">
        <v>109</v>
      </c>
      <c r="F15" s="21">
        <v>1</v>
      </c>
      <c r="G15" s="21" t="s">
        <v>109</v>
      </c>
      <c r="H15" s="21" t="s">
        <v>109</v>
      </c>
      <c r="I15" s="21" t="s">
        <v>109</v>
      </c>
      <c r="J15" s="21"/>
      <c r="K15" s="21"/>
      <c r="L15" s="21"/>
      <c r="M15" s="21"/>
      <c r="N15" s="21"/>
      <c r="O15" s="21"/>
      <c r="P15" s="21"/>
      <c r="Q15" s="21" t="s">
        <v>109</v>
      </c>
      <c r="R15" s="21" t="s">
        <v>109</v>
      </c>
      <c r="S15" s="21" t="s">
        <v>109</v>
      </c>
      <c r="T15" s="21" t="s">
        <v>109</v>
      </c>
      <c r="U15" s="21" t="s">
        <v>109</v>
      </c>
      <c r="V15" s="21" t="s">
        <v>109</v>
      </c>
      <c r="W15" s="21" t="s">
        <v>109</v>
      </c>
      <c r="X15" s="21" t="s">
        <v>109</v>
      </c>
      <c r="Y15" s="21" t="s">
        <v>109</v>
      </c>
      <c r="Z15" s="21" t="s">
        <v>109</v>
      </c>
      <c r="AA15" s="21">
        <v>1</v>
      </c>
      <c r="AB15" s="21" t="s">
        <v>109</v>
      </c>
      <c r="AC15" s="21" t="s">
        <v>109</v>
      </c>
      <c r="AD15" s="21" t="s">
        <v>109</v>
      </c>
      <c r="AE15" s="23">
        <f t="shared" si="0"/>
        <v>1</v>
      </c>
      <c r="AF15" s="23" t="e">
        <f t="shared" si="1"/>
        <v>#DIV/0!</v>
      </c>
      <c r="AG15" s="10" t="e">
        <f t="shared" si="2"/>
        <v>#DIV/0!</v>
      </c>
      <c r="AH15" s="10">
        <f t="shared" si="3"/>
        <v>1</v>
      </c>
      <c r="AI15" s="8">
        <f t="shared" si="4"/>
        <v>1</v>
      </c>
    </row>
    <row r="16" spans="1:39" ht="15" customHeight="1">
      <c r="A16" s="4">
        <v>13</v>
      </c>
      <c r="B16" s="92" t="str">
        <f>'1.HAFTA'!B16</f>
        <v>Ahmet Enes Küçüktepe</v>
      </c>
      <c r="C16" s="21" t="s">
        <v>109</v>
      </c>
      <c r="D16" s="21">
        <v>1</v>
      </c>
      <c r="E16" s="21">
        <v>0</v>
      </c>
      <c r="F16" s="21">
        <v>0</v>
      </c>
      <c r="G16" s="21" t="s">
        <v>109</v>
      </c>
      <c r="H16" s="21" t="s">
        <v>109</v>
      </c>
      <c r="I16" s="21" t="s">
        <v>109</v>
      </c>
      <c r="J16" s="21"/>
      <c r="K16" s="21"/>
      <c r="L16" s="21"/>
      <c r="M16" s="21"/>
      <c r="N16" s="21"/>
      <c r="O16" s="21"/>
      <c r="P16" s="21"/>
      <c r="Q16" s="21" t="s">
        <v>109</v>
      </c>
      <c r="R16" s="21" t="s">
        <v>108</v>
      </c>
      <c r="S16" s="21" t="s">
        <v>109</v>
      </c>
      <c r="T16" s="21" t="s">
        <v>109</v>
      </c>
      <c r="U16" s="21" t="s">
        <v>109</v>
      </c>
      <c r="V16" s="21" t="s">
        <v>109</v>
      </c>
      <c r="W16" s="21" t="s">
        <v>109</v>
      </c>
      <c r="X16" s="21" t="s">
        <v>109</v>
      </c>
      <c r="Y16" s="21" t="s">
        <v>109</v>
      </c>
      <c r="Z16" s="21" t="s">
        <v>109</v>
      </c>
      <c r="AA16" s="21" t="s">
        <v>109</v>
      </c>
      <c r="AB16" s="21" t="s">
        <v>109</v>
      </c>
      <c r="AC16" s="21" t="s">
        <v>109</v>
      </c>
      <c r="AD16" s="21" t="s">
        <v>109</v>
      </c>
      <c r="AE16" s="23">
        <f t="shared" si="0"/>
        <v>0.33333333333333331</v>
      </c>
      <c r="AF16" s="23" t="e">
        <f t="shared" si="1"/>
        <v>#DIV/0!</v>
      </c>
      <c r="AG16" s="10" t="e">
        <f t="shared" si="2"/>
        <v>#DIV/0!</v>
      </c>
      <c r="AH16" s="10" t="e">
        <f t="shared" si="3"/>
        <v>#DIV/0!</v>
      </c>
      <c r="AI16" s="8">
        <f t="shared" si="4"/>
        <v>0.33333333333333331</v>
      </c>
    </row>
    <row r="17" spans="1:35" ht="15" customHeight="1">
      <c r="A17" s="3">
        <v>14</v>
      </c>
      <c r="B17" s="20" t="str">
        <f>'1.HAFTA'!B17</f>
        <v>Abdulkerim Karazehir</v>
      </c>
      <c r="C17" s="21" t="s">
        <v>109</v>
      </c>
      <c r="D17" s="21">
        <v>1</v>
      </c>
      <c r="E17" s="21">
        <v>1</v>
      </c>
      <c r="F17" s="21">
        <v>0</v>
      </c>
      <c r="G17" s="21" t="s">
        <v>109</v>
      </c>
      <c r="H17" s="21" t="s">
        <v>109</v>
      </c>
      <c r="I17" s="21" t="s">
        <v>109</v>
      </c>
      <c r="J17" s="21"/>
      <c r="K17" s="21"/>
      <c r="L17" s="21"/>
      <c r="M17" s="21"/>
      <c r="N17" s="21"/>
      <c r="O17" s="21"/>
      <c r="P17" s="21"/>
      <c r="Q17" s="21" t="s">
        <v>109</v>
      </c>
      <c r="R17" s="21">
        <v>0</v>
      </c>
      <c r="S17" s="21" t="s">
        <v>109</v>
      </c>
      <c r="T17" s="21" t="s">
        <v>109</v>
      </c>
      <c r="U17" s="21" t="s">
        <v>109</v>
      </c>
      <c r="V17" s="21" t="s">
        <v>109</v>
      </c>
      <c r="W17" s="21" t="s">
        <v>109</v>
      </c>
      <c r="X17" s="21" t="s">
        <v>109</v>
      </c>
      <c r="Y17" s="21" t="s">
        <v>109</v>
      </c>
      <c r="Z17" s="21" t="s">
        <v>109</v>
      </c>
      <c r="AA17" s="21">
        <v>1</v>
      </c>
      <c r="AB17" s="21" t="s">
        <v>109</v>
      </c>
      <c r="AC17" s="21" t="s">
        <v>109</v>
      </c>
      <c r="AD17" s="21" t="s">
        <v>109</v>
      </c>
      <c r="AE17" s="23">
        <f t="shared" si="0"/>
        <v>0.66666666666666663</v>
      </c>
      <c r="AF17" s="23" t="e">
        <f t="shared" si="1"/>
        <v>#DIV/0!</v>
      </c>
      <c r="AG17" s="10">
        <f t="shared" si="2"/>
        <v>0</v>
      </c>
      <c r="AH17" s="10">
        <f t="shared" si="3"/>
        <v>1</v>
      </c>
      <c r="AI17" s="8">
        <f t="shared" si="4"/>
        <v>0.5</v>
      </c>
    </row>
    <row r="18" spans="1:35" ht="15" customHeight="1" thickBot="1">
      <c r="A18" s="59">
        <v>15</v>
      </c>
      <c r="B18" s="20" t="str">
        <f>'1.HAFTA'!B18</f>
        <v>Berat Basan</v>
      </c>
      <c r="C18" s="21" t="s">
        <v>109</v>
      </c>
      <c r="D18" s="21">
        <v>0</v>
      </c>
      <c r="E18" s="21">
        <v>0</v>
      </c>
      <c r="F18" s="21">
        <v>0</v>
      </c>
      <c r="G18" s="21" t="s">
        <v>109</v>
      </c>
      <c r="H18" s="21" t="s">
        <v>109</v>
      </c>
      <c r="I18" s="21" t="s">
        <v>109</v>
      </c>
      <c r="J18" s="21"/>
      <c r="K18" s="21"/>
      <c r="L18" s="21"/>
      <c r="M18" s="21"/>
      <c r="N18" s="21"/>
      <c r="O18" s="21"/>
      <c r="P18" s="21"/>
      <c r="Q18" s="21" t="s">
        <v>109</v>
      </c>
      <c r="R18" s="21" t="s">
        <v>109</v>
      </c>
      <c r="S18" s="21" t="s">
        <v>109</v>
      </c>
      <c r="T18" s="21" t="s">
        <v>109</v>
      </c>
      <c r="U18" s="21" t="s">
        <v>109</v>
      </c>
      <c r="V18" s="21" t="s">
        <v>109</v>
      </c>
      <c r="W18" s="21" t="s">
        <v>109</v>
      </c>
      <c r="X18" s="21" t="s">
        <v>109</v>
      </c>
      <c r="Y18" s="21" t="s">
        <v>109</v>
      </c>
      <c r="Z18" s="21" t="s">
        <v>109</v>
      </c>
      <c r="AA18" s="21">
        <v>1</v>
      </c>
      <c r="AB18" s="21" t="s">
        <v>109</v>
      </c>
      <c r="AC18" s="21" t="s">
        <v>109</v>
      </c>
      <c r="AD18" s="21" t="s">
        <v>109</v>
      </c>
      <c r="AE18" s="23">
        <f t="shared" si="0"/>
        <v>0</v>
      </c>
      <c r="AF18" s="23" t="e">
        <f t="shared" si="1"/>
        <v>#DIV/0!</v>
      </c>
      <c r="AG18" s="10" t="e">
        <f t="shared" si="2"/>
        <v>#DIV/0!</v>
      </c>
      <c r="AH18" s="10">
        <f t="shared" si="3"/>
        <v>1</v>
      </c>
      <c r="AI18" s="8">
        <f t="shared" si="4"/>
        <v>0</v>
      </c>
    </row>
    <row r="19" spans="1:35" ht="15" customHeight="1">
      <c r="A19" s="4">
        <v>16</v>
      </c>
      <c r="B19" s="20" t="str">
        <f>'1.HAFTA'!B19</f>
        <v>Burhan Çevik</v>
      </c>
      <c r="C19" s="21" t="s">
        <v>109</v>
      </c>
      <c r="D19" s="21">
        <v>1</v>
      </c>
      <c r="E19" s="21">
        <v>0</v>
      </c>
      <c r="F19" s="21" t="s">
        <v>109</v>
      </c>
      <c r="G19" s="21" t="s">
        <v>109</v>
      </c>
      <c r="H19" s="21" t="s">
        <v>109</v>
      </c>
      <c r="I19" s="21" t="s">
        <v>109</v>
      </c>
      <c r="J19" s="21"/>
      <c r="K19" s="21"/>
      <c r="L19" s="21"/>
      <c r="M19" s="21"/>
      <c r="N19" s="21"/>
      <c r="O19" s="21"/>
      <c r="P19" s="21"/>
      <c r="Q19" s="21" t="s">
        <v>109</v>
      </c>
      <c r="R19" s="21">
        <v>0</v>
      </c>
      <c r="S19" s="21" t="s">
        <v>109</v>
      </c>
      <c r="T19" s="21" t="s">
        <v>109</v>
      </c>
      <c r="U19" s="21" t="s">
        <v>109</v>
      </c>
      <c r="V19" s="21" t="s">
        <v>109</v>
      </c>
      <c r="W19" s="21" t="s">
        <v>109</v>
      </c>
      <c r="X19" s="21" t="s">
        <v>109</v>
      </c>
      <c r="Y19" s="21" t="s">
        <v>109</v>
      </c>
      <c r="Z19" s="21" t="s">
        <v>109</v>
      </c>
      <c r="AA19" s="21">
        <v>1</v>
      </c>
      <c r="AB19" s="21" t="s">
        <v>109</v>
      </c>
      <c r="AC19" s="21" t="s">
        <v>109</v>
      </c>
      <c r="AD19" s="21" t="s">
        <v>109</v>
      </c>
      <c r="AE19" s="23">
        <f t="shared" si="0"/>
        <v>0.5</v>
      </c>
      <c r="AF19" s="23" t="e">
        <f t="shared" si="1"/>
        <v>#DIV/0!</v>
      </c>
      <c r="AG19" s="10">
        <f t="shared" si="2"/>
        <v>0</v>
      </c>
      <c r="AH19" s="10">
        <f t="shared" si="3"/>
        <v>1</v>
      </c>
      <c r="AI19" s="8">
        <f t="shared" si="4"/>
        <v>0.33333333333333331</v>
      </c>
    </row>
    <row r="20" spans="1:35" ht="15" customHeight="1">
      <c r="A20" s="3">
        <v>17</v>
      </c>
      <c r="B20" s="20" t="str">
        <f>'1.HAFTA'!B20</f>
        <v>Enes Bakar</v>
      </c>
      <c r="C20" s="21" t="s">
        <v>109</v>
      </c>
      <c r="D20" s="21" t="s">
        <v>113</v>
      </c>
      <c r="E20" s="21">
        <v>0</v>
      </c>
      <c r="F20" s="21">
        <v>0</v>
      </c>
      <c r="G20" s="21" t="s">
        <v>109</v>
      </c>
      <c r="H20" s="21" t="s">
        <v>109</v>
      </c>
      <c r="I20" s="21" t="s">
        <v>109</v>
      </c>
      <c r="J20" s="21"/>
      <c r="K20" s="21"/>
      <c r="L20" s="21"/>
      <c r="M20" s="21"/>
      <c r="N20" s="21"/>
      <c r="O20" s="21"/>
      <c r="P20" s="21"/>
      <c r="Q20" s="21" t="s">
        <v>109</v>
      </c>
      <c r="R20" s="21">
        <v>0</v>
      </c>
      <c r="S20" s="21" t="s">
        <v>109</v>
      </c>
      <c r="T20" s="21" t="s">
        <v>109</v>
      </c>
      <c r="U20" s="21" t="s">
        <v>109</v>
      </c>
      <c r="V20" s="21" t="s">
        <v>109</v>
      </c>
      <c r="W20" s="21" t="s">
        <v>109</v>
      </c>
      <c r="X20" s="21" t="s">
        <v>109</v>
      </c>
      <c r="Y20" s="21" t="s">
        <v>109</v>
      </c>
      <c r="Z20" s="21" t="s">
        <v>109</v>
      </c>
      <c r="AA20" s="21">
        <v>1</v>
      </c>
      <c r="AB20" s="21" t="s">
        <v>109</v>
      </c>
      <c r="AC20" s="21" t="s">
        <v>109</v>
      </c>
      <c r="AD20" s="21" t="s">
        <v>109</v>
      </c>
      <c r="AE20" s="23">
        <f t="shared" si="0"/>
        <v>0</v>
      </c>
      <c r="AF20" s="23" t="e">
        <f t="shared" si="1"/>
        <v>#DIV/0!</v>
      </c>
      <c r="AG20" s="10">
        <f t="shared" si="2"/>
        <v>0</v>
      </c>
      <c r="AH20" s="10">
        <f t="shared" si="3"/>
        <v>1</v>
      </c>
      <c r="AI20" s="8">
        <f t="shared" si="4"/>
        <v>0</v>
      </c>
    </row>
    <row r="21" spans="1:35" ht="15" customHeight="1" thickBot="1">
      <c r="A21" s="59">
        <v>18</v>
      </c>
      <c r="B21" s="20" t="str">
        <f>'1.HAFTA'!B21</f>
        <v>Hüseyin Özdemir</v>
      </c>
      <c r="C21" s="21" t="s">
        <v>109</v>
      </c>
      <c r="D21" s="21">
        <v>1</v>
      </c>
      <c r="E21" s="21">
        <v>0</v>
      </c>
      <c r="F21" s="21">
        <v>1</v>
      </c>
      <c r="G21" s="21" t="s">
        <v>109</v>
      </c>
      <c r="H21" s="21" t="s">
        <v>109</v>
      </c>
      <c r="I21" s="21" t="s">
        <v>109</v>
      </c>
      <c r="J21" s="21"/>
      <c r="K21" s="21"/>
      <c r="L21" s="21"/>
      <c r="M21" s="21"/>
      <c r="N21" s="21"/>
      <c r="O21" s="21"/>
      <c r="P21" s="21"/>
      <c r="Q21" s="21" t="s">
        <v>109</v>
      </c>
      <c r="R21" s="21">
        <v>0</v>
      </c>
      <c r="S21" s="21" t="s">
        <v>109</v>
      </c>
      <c r="T21" s="21" t="s">
        <v>109</v>
      </c>
      <c r="U21" s="21" t="s">
        <v>109</v>
      </c>
      <c r="V21" s="21" t="s">
        <v>109</v>
      </c>
      <c r="W21" s="21" t="s">
        <v>109</v>
      </c>
      <c r="X21" s="21" t="s">
        <v>109</v>
      </c>
      <c r="Y21" s="21" t="s">
        <v>109</v>
      </c>
      <c r="Z21" s="21" t="s">
        <v>109</v>
      </c>
      <c r="AA21" s="21">
        <v>1</v>
      </c>
      <c r="AB21" s="21" t="s">
        <v>109</v>
      </c>
      <c r="AC21" s="21" t="s">
        <v>109</v>
      </c>
      <c r="AD21" s="21" t="s">
        <v>109</v>
      </c>
      <c r="AE21" s="23">
        <f t="shared" si="0"/>
        <v>0.66666666666666663</v>
      </c>
      <c r="AF21" s="23" t="e">
        <f t="shared" si="1"/>
        <v>#DIV/0!</v>
      </c>
      <c r="AG21" s="10">
        <f t="shared" si="2"/>
        <v>0</v>
      </c>
      <c r="AH21" s="10">
        <f t="shared" si="3"/>
        <v>1</v>
      </c>
      <c r="AI21" s="8">
        <f t="shared" si="4"/>
        <v>0.5</v>
      </c>
    </row>
    <row r="22" spans="1:35" ht="15" customHeight="1">
      <c r="A22" s="4">
        <v>19</v>
      </c>
      <c r="B22" s="20" t="str">
        <f>'1.HAFTA'!B22</f>
        <v>Yahya Yıldız</v>
      </c>
      <c r="C22" s="21" t="s">
        <v>109</v>
      </c>
      <c r="D22" s="21">
        <v>1</v>
      </c>
      <c r="E22" s="21">
        <v>1</v>
      </c>
      <c r="F22" s="21">
        <v>1</v>
      </c>
      <c r="G22" s="21" t="s">
        <v>109</v>
      </c>
      <c r="H22" s="21" t="s">
        <v>109</v>
      </c>
      <c r="I22" s="21" t="s">
        <v>109</v>
      </c>
      <c r="J22" s="21"/>
      <c r="K22" s="21"/>
      <c r="L22" s="21"/>
      <c r="M22" s="21"/>
      <c r="N22" s="21"/>
      <c r="O22" s="21"/>
      <c r="P22" s="21"/>
      <c r="Q22" s="21" t="s">
        <v>109</v>
      </c>
      <c r="R22" s="21">
        <v>0</v>
      </c>
      <c r="S22" s="21" t="s">
        <v>109</v>
      </c>
      <c r="T22" s="21" t="s">
        <v>109</v>
      </c>
      <c r="U22" s="21" t="s">
        <v>109</v>
      </c>
      <c r="V22" s="21" t="s">
        <v>109</v>
      </c>
      <c r="W22" s="21" t="s">
        <v>109</v>
      </c>
      <c r="X22" s="21" t="s">
        <v>109</v>
      </c>
      <c r="Y22" s="21" t="s">
        <v>109</v>
      </c>
      <c r="Z22" s="21" t="s">
        <v>109</v>
      </c>
      <c r="AA22" s="21">
        <v>1</v>
      </c>
      <c r="AB22" s="21" t="s">
        <v>109</v>
      </c>
      <c r="AC22" s="21" t="s">
        <v>109</v>
      </c>
      <c r="AD22" s="21" t="s">
        <v>109</v>
      </c>
      <c r="AE22" s="23">
        <f t="shared" si="0"/>
        <v>1</v>
      </c>
      <c r="AF22" s="23" t="e">
        <f t="shared" si="1"/>
        <v>#DIV/0!</v>
      </c>
      <c r="AG22" s="10">
        <f t="shared" si="2"/>
        <v>0</v>
      </c>
      <c r="AH22" s="10">
        <f t="shared" si="3"/>
        <v>1</v>
      </c>
      <c r="AI22" s="8">
        <f t="shared" si="4"/>
        <v>0.75</v>
      </c>
    </row>
    <row r="23" spans="1:35" ht="15" customHeight="1">
      <c r="A23" s="3">
        <v>20</v>
      </c>
      <c r="B23" s="20" t="str">
        <f>'1.HAFTA'!B23</f>
        <v>Yakup Karazehir</v>
      </c>
      <c r="C23" s="21" t="s">
        <v>109</v>
      </c>
      <c r="D23" s="21">
        <v>1</v>
      </c>
      <c r="E23" s="21">
        <v>1</v>
      </c>
      <c r="F23" s="21">
        <v>1</v>
      </c>
      <c r="G23" s="21" t="s">
        <v>109</v>
      </c>
      <c r="H23" s="21" t="s">
        <v>109</v>
      </c>
      <c r="I23" s="21" t="s">
        <v>109</v>
      </c>
      <c r="J23" s="21"/>
      <c r="K23" s="21"/>
      <c r="L23" s="21"/>
      <c r="M23" s="21"/>
      <c r="N23" s="21"/>
      <c r="O23" s="21"/>
      <c r="P23" s="21"/>
      <c r="Q23" s="21" t="s">
        <v>109</v>
      </c>
      <c r="R23" s="21">
        <v>1</v>
      </c>
      <c r="S23" s="21" t="s">
        <v>109</v>
      </c>
      <c r="T23" s="21" t="s">
        <v>109</v>
      </c>
      <c r="U23" s="21" t="s">
        <v>109</v>
      </c>
      <c r="V23" s="21" t="s">
        <v>109</v>
      </c>
      <c r="W23" s="21" t="s">
        <v>109</v>
      </c>
      <c r="X23" s="21" t="s">
        <v>109</v>
      </c>
      <c r="Y23" s="21" t="s">
        <v>109</v>
      </c>
      <c r="Z23" s="21" t="s">
        <v>109</v>
      </c>
      <c r="AA23" s="21">
        <v>1</v>
      </c>
      <c r="AB23" s="21" t="s">
        <v>109</v>
      </c>
      <c r="AC23" s="21" t="s">
        <v>109</v>
      </c>
      <c r="AD23" s="21" t="s">
        <v>109</v>
      </c>
      <c r="AE23" s="23">
        <f t="shared" si="0"/>
        <v>1</v>
      </c>
      <c r="AF23" s="23" t="e">
        <f t="shared" si="1"/>
        <v>#DIV/0!</v>
      </c>
      <c r="AG23" s="10">
        <f t="shared" si="2"/>
        <v>1</v>
      </c>
      <c r="AH23" s="10">
        <f t="shared" si="3"/>
        <v>1</v>
      </c>
      <c r="AI23" s="8">
        <f t="shared" si="4"/>
        <v>1</v>
      </c>
    </row>
    <row r="24" spans="1:35" ht="15" customHeight="1" thickBot="1">
      <c r="A24" s="59">
        <v>21</v>
      </c>
      <c r="B24" s="20" t="str">
        <f>'1.HAFTA'!B24</f>
        <v>Abdussamed Arslan</v>
      </c>
      <c r="C24" s="21" t="s">
        <v>109</v>
      </c>
      <c r="D24" s="21">
        <v>1</v>
      </c>
      <c r="E24" s="21">
        <v>1</v>
      </c>
      <c r="F24" s="21">
        <v>0</v>
      </c>
      <c r="G24" s="21" t="s">
        <v>109</v>
      </c>
      <c r="H24" s="21" t="s">
        <v>109</v>
      </c>
      <c r="I24" s="21" t="s">
        <v>109</v>
      </c>
      <c r="J24" s="21"/>
      <c r="K24" s="21"/>
      <c r="L24" s="21"/>
      <c r="M24" s="21"/>
      <c r="N24" s="21"/>
      <c r="O24" s="21"/>
      <c r="P24" s="21"/>
      <c r="Q24" s="21" t="s">
        <v>109</v>
      </c>
      <c r="R24" s="21">
        <v>0</v>
      </c>
      <c r="S24" s="21" t="s">
        <v>109</v>
      </c>
      <c r="T24" s="21" t="s">
        <v>109</v>
      </c>
      <c r="U24" s="21" t="s">
        <v>109</v>
      </c>
      <c r="V24" s="21" t="s">
        <v>109</v>
      </c>
      <c r="W24" s="21" t="s">
        <v>109</v>
      </c>
      <c r="X24" s="21" t="s">
        <v>109</v>
      </c>
      <c r="Y24" s="21" t="s">
        <v>109</v>
      </c>
      <c r="Z24" s="21" t="s">
        <v>109</v>
      </c>
      <c r="AA24" s="21">
        <v>0</v>
      </c>
      <c r="AB24" s="21" t="s">
        <v>109</v>
      </c>
      <c r="AC24" s="21" t="s">
        <v>109</v>
      </c>
      <c r="AD24" s="21" t="s">
        <v>109</v>
      </c>
      <c r="AE24" s="23">
        <f t="shared" si="0"/>
        <v>0.66666666666666663</v>
      </c>
      <c r="AF24" s="23" t="e">
        <f t="shared" si="1"/>
        <v>#DIV/0!</v>
      </c>
      <c r="AG24" s="10">
        <f t="shared" si="2"/>
        <v>0</v>
      </c>
      <c r="AH24" s="10">
        <f t="shared" si="3"/>
        <v>0</v>
      </c>
      <c r="AI24" s="8">
        <f t="shared" si="4"/>
        <v>0.5</v>
      </c>
    </row>
    <row r="25" spans="1:35" ht="15" customHeight="1">
      <c r="A25" s="4">
        <v>22</v>
      </c>
      <c r="B25" s="20" t="str">
        <f>'1.HAFTA'!B25</f>
        <v>Abdussamed Erdem</v>
      </c>
      <c r="C25" s="21" t="s">
        <v>109</v>
      </c>
      <c r="D25" s="21">
        <v>1</v>
      </c>
      <c r="E25" s="21">
        <v>0</v>
      </c>
      <c r="F25" s="21">
        <v>1</v>
      </c>
      <c r="G25" s="21" t="s">
        <v>109</v>
      </c>
      <c r="H25" s="21" t="s">
        <v>109</v>
      </c>
      <c r="I25" s="21" t="s">
        <v>109</v>
      </c>
      <c r="J25" s="21"/>
      <c r="K25" s="21"/>
      <c r="L25" s="21"/>
      <c r="M25" s="21"/>
      <c r="N25" s="21"/>
      <c r="O25" s="21"/>
      <c r="P25" s="21"/>
      <c r="Q25" s="21" t="s">
        <v>109</v>
      </c>
      <c r="R25" s="21">
        <v>0</v>
      </c>
      <c r="S25" s="21" t="s">
        <v>109</v>
      </c>
      <c r="T25" s="21" t="s">
        <v>109</v>
      </c>
      <c r="U25" s="21" t="s">
        <v>109</v>
      </c>
      <c r="V25" s="21" t="s">
        <v>109</v>
      </c>
      <c r="W25" s="21" t="s">
        <v>109</v>
      </c>
      <c r="X25" s="21" t="s">
        <v>109</v>
      </c>
      <c r="Y25" s="21" t="s">
        <v>109</v>
      </c>
      <c r="Z25" s="21" t="s">
        <v>109</v>
      </c>
      <c r="AA25" s="21" t="s">
        <v>109</v>
      </c>
      <c r="AB25" s="21" t="s">
        <v>109</v>
      </c>
      <c r="AC25" s="21" t="s">
        <v>109</v>
      </c>
      <c r="AD25" s="21" t="s">
        <v>109</v>
      </c>
      <c r="AE25" s="23">
        <f t="shared" si="0"/>
        <v>0.66666666666666663</v>
      </c>
      <c r="AF25" s="23" t="e">
        <f t="shared" si="1"/>
        <v>#DIV/0!</v>
      </c>
      <c r="AG25" s="10">
        <f t="shared" si="2"/>
        <v>0</v>
      </c>
      <c r="AH25" s="10" t="e">
        <f t="shared" si="3"/>
        <v>#DIV/0!</v>
      </c>
      <c r="AI25" s="8">
        <f t="shared" si="4"/>
        <v>0.5</v>
      </c>
    </row>
    <row r="26" spans="1:35" ht="15" customHeight="1">
      <c r="A26" s="3">
        <v>23</v>
      </c>
      <c r="B26" s="20" t="str">
        <f>'1.HAFTA'!B26</f>
        <v>Ahmet Boyacıoğlu</v>
      </c>
      <c r="C26" s="21" t="s">
        <v>109</v>
      </c>
      <c r="D26" s="21" t="s">
        <v>109</v>
      </c>
      <c r="E26" s="21">
        <v>0</v>
      </c>
      <c r="F26" s="21" t="s">
        <v>109</v>
      </c>
      <c r="G26" s="21" t="s">
        <v>109</v>
      </c>
      <c r="H26" s="21" t="s">
        <v>109</v>
      </c>
      <c r="I26" s="21" t="s">
        <v>109</v>
      </c>
      <c r="J26" s="21"/>
      <c r="K26" s="21"/>
      <c r="L26" s="21"/>
      <c r="M26" s="21"/>
      <c r="N26" s="21"/>
      <c r="O26" s="21"/>
      <c r="P26" s="21"/>
      <c r="Q26" s="21" t="s">
        <v>109</v>
      </c>
      <c r="R26" s="21" t="s">
        <v>109</v>
      </c>
      <c r="S26" s="21" t="s">
        <v>109</v>
      </c>
      <c r="T26" s="21" t="s">
        <v>109</v>
      </c>
      <c r="U26" s="21" t="s">
        <v>109</v>
      </c>
      <c r="V26" s="21" t="s">
        <v>109</v>
      </c>
      <c r="W26" s="21" t="s">
        <v>109</v>
      </c>
      <c r="X26" s="21" t="s">
        <v>109</v>
      </c>
      <c r="Y26" s="21" t="s">
        <v>109</v>
      </c>
      <c r="Z26" s="21" t="s">
        <v>109</v>
      </c>
      <c r="AA26" s="21">
        <v>1</v>
      </c>
      <c r="AB26" s="21" t="s">
        <v>109</v>
      </c>
      <c r="AC26" s="21" t="s">
        <v>109</v>
      </c>
      <c r="AD26" s="21" t="s">
        <v>109</v>
      </c>
      <c r="AE26" s="23">
        <f t="shared" si="0"/>
        <v>0</v>
      </c>
      <c r="AF26" s="23" t="e">
        <f t="shared" si="1"/>
        <v>#DIV/0!</v>
      </c>
      <c r="AG26" s="10" t="e">
        <f t="shared" si="2"/>
        <v>#DIV/0!</v>
      </c>
      <c r="AH26" s="10">
        <f t="shared" si="3"/>
        <v>1</v>
      </c>
      <c r="AI26" s="8">
        <f t="shared" si="4"/>
        <v>0</v>
      </c>
    </row>
    <row r="27" spans="1:35" ht="15" customHeight="1" thickBot="1">
      <c r="A27" s="59">
        <v>24</v>
      </c>
      <c r="B27" s="20" t="str">
        <f>'1.HAFTA'!B27</f>
        <v>Ahmet Kökçü</v>
      </c>
      <c r="C27" s="21" t="s">
        <v>109</v>
      </c>
      <c r="D27" s="21">
        <v>1</v>
      </c>
      <c r="E27" s="21">
        <v>1</v>
      </c>
      <c r="F27" s="21">
        <v>1</v>
      </c>
      <c r="G27" s="21" t="s">
        <v>109</v>
      </c>
      <c r="H27" s="21" t="s">
        <v>109</v>
      </c>
      <c r="I27" s="21" t="s">
        <v>109</v>
      </c>
      <c r="J27" s="21"/>
      <c r="K27" s="21"/>
      <c r="L27" s="21"/>
      <c r="M27" s="21"/>
      <c r="N27" s="21"/>
      <c r="O27" s="21"/>
      <c r="P27" s="21"/>
      <c r="Q27" s="21" t="s">
        <v>109</v>
      </c>
      <c r="R27" s="21" t="s">
        <v>109</v>
      </c>
      <c r="S27" s="21" t="s">
        <v>109</v>
      </c>
      <c r="T27" s="21" t="s">
        <v>109</v>
      </c>
      <c r="U27" s="21" t="s">
        <v>109</v>
      </c>
      <c r="V27" s="21" t="s">
        <v>109</v>
      </c>
      <c r="W27" s="21" t="s">
        <v>109</v>
      </c>
      <c r="X27" s="21" t="s">
        <v>109</v>
      </c>
      <c r="Y27" s="21" t="s">
        <v>109</v>
      </c>
      <c r="Z27" s="21" t="s">
        <v>109</v>
      </c>
      <c r="AA27" s="21">
        <v>1</v>
      </c>
      <c r="AB27" s="21" t="s">
        <v>109</v>
      </c>
      <c r="AC27" s="21" t="s">
        <v>109</v>
      </c>
      <c r="AD27" s="21" t="s">
        <v>109</v>
      </c>
      <c r="AE27" s="23">
        <f t="shared" si="0"/>
        <v>1</v>
      </c>
      <c r="AF27" s="23" t="e">
        <f t="shared" si="1"/>
        <v>#DIV/0!</v>
      </c>
      <c r="AG27" s="10" t="e">
        <f t="shared" si="2"/>
        <v>#DIV/0!</v>
      </c>
      <c r="AH27" s="10">
        <f t="shared" si="3"/>
        <v>1</v>
      </c>
      <c r="AI27" s="8">
        <f t="shared" si="4"/>
        <v>1</v>
      </c>
    </row>
    <row r="28" spans="1:35" ht="15" customHeight="1">
      <c r="A28" s="4">
        <v>25</v>
      </c>
      <c r="B28" s="20" t="str">
        <f>'1.HAFTA'!B28</f>
        <v>Fatih Burcu</v>
      </c>
      <c r="C28" s="21" t="s">
        <v>109</v>
      </c>
      <c r="D28" s="21">
        <v>1</v>
      </c>
      <c r="E28" s="21">
        <v>1</v>
      </c>
      <c r="F28" s="21">
        <v>1</v>
      </c>
      <c r="G28" s="21" t="s">
        <v>109</v>
      </c>
      <c r="H28" s="21" t="s">
        <v>109</v>
      </c>
      <c r="I28" s="21" t="s">
        <v>109</v>
      </c>
      <c r="J28" s="21"/>
      <c r="K28" s="21"/>
      <c r="L28" s="21"/>
      <c r="M28" s="21"/>
      <c r="N28" s="21"/>
      <c r="O28" s="21"/>
      <c r="P28" s="21"/>
      <c r="Q28" s="21" t="s">
        <v>109</v>
      </c>
      <c r="R28" s="21" t="s">
        <v>109</v>
      </c>
      <c r="S28" s="21" t="s">
        <v>109</v>
      </c>
      <c r="T28" s="21" t="s">
        <v>109</v>
      </c>
      <c r="U28" s="21" t="s">
        <v>109</v>
      </c>
      <c r="V28" s="21" t="s">
        <v>109</v>
      </c>
      <c r="W28" s="21" t="s">
        <v>109</v>
      </c>
      <c r="X28" s="21" t="s">
        <v>109</v>
      </c>
      <c r="Y28" s="21" t="s">
        <v>109</v>
      </c>
      <c r="Z28" s="21" t="s">
        <v>109</v>
      </c>
      <c r="AA28" s="21" t="s">
        <v>109</v>
      </c>
      <c r="AB28" s="21" t="s">
        <v>109</v>
      </c>
      <c r="AC28" s="21" t="s">
        <v>109</v>
      </c>
      <c r="AD28" s="21" t="s">
        <v>109</v>
      </c>
      <c r="AE28" s="23">
        <f t="shared" si="0"/>
        <v>1</v>
      </c>
      <c r="AF28" s="23" t="e">
        <f t="shared" si="1"/>
        <v>#DIV/0!</v>
      </c>
      <c r="AG28" s="10" t="e">
        <f t="shared" si="2"/>
        <v>#DIV/0!</v>
      </c>
      <c r="AH28" s="10" t="e">
        <f t="shared" si="3"/>
        <v>#DIV/0!</v>
      </c>
      <c r="AI28" s="8">
        <f t="shared" si="4"/>
        <v>1</v>
      </c>
    </row>
    <row r="29" spans="1:35" ht="15" customHeight="1">
      <c r="A29" s="3">
        <v>26</v>
      </c>
      <c r="B29" s="20" t="str">
        <f>'1.HAFTA'!B29</f>
        <v>Fehmi Kütük</v>
      </c>
      <c r="C29" s="21" t="s">
        <v>109</v>
      </c>
      <c r="D29" s="21">
        <v>1</v>
      </c>
      <c r="E29" s="21">
        <v>0</v>
      </c>
      <c r="F29" s="21">
        <v>0</v>
      </c>
      <c r="G29" s="21" t="s">
        <v>109</v>
      </c>
      <c r="H29" s="21" t="s">
        <v>109</v>
      </c>
      <c r="I29" s="21" t="s">
        <v>109</v>
      </c>
      <c r="J29" s="21"/>
      <c r="K29" s="21"/>
      <c r="L29" s="21"/>
      <c r="M29" s="21"/>
      <c r="N29" s="21"/>
      <c r="O29" s="21"/>
      <c r="P29" s="21"/>
      <c r="Q29" s="21" t="s">
        <v>109</v>
      </c>
      <c r="R29" s="21" t="s">
        <v>109</v>
      </c>
      <c r="S29" s="21" t="s">
        <v>109</v>
      </c>
      <c r="T29" s="21" t="s">
        <v>109</v>
      </c>
      <c r="U29" s="21" t="s">
        <v>109</v>
      </c>
      <c r="V29" s="21" t="s">
        <v>109</v>
      </c>
      <c r="W29" s="21" t="s">
        <v>109</v>
      </c>
      <c r="X29" s="21" t="s">
        <v>109</v>
      </c>
      <c r="Y29" s="21" t="s">
        <v>109</v>
      </c>
      <c r="Z29" s="21" t="s">
        <v>109</v>
      </c>
      <c r="AA29" s="21">
        <v>1</v>
      </c>
      <c r="AB29" s="21" t="s">
        <v>109</v>
      </c>
      <c r="AC29" s="21" t="s">
        <v>109</v>
      </c>
      <c r="AD29" s="21" t="s">
        <v>109</v>
      </c>
      <c r="AE29" s="23">
        <f t="shared" si="0"/>
        <v>0.33333333333333331</v>
      </c>
      <c r="AF29" s="23" t="e">
        <f t="shared" si="1"/>
        <v>#DIV/0!</v>
      </c>
      <c r="AG29" s="10" t="e">
        <f t="shared" si="2"/>
        <v>#DIV/0!</v>
      </c>
      <c r="AH29" s="10">
        <f t="shared" si="3"/>
        <v>1</v>
      </c>
      <c r="AI29" s="8">
        <f t="shared" si="4"/>
        <v>0.33333333333333331</v>
      </c>
    </row>
    <row r="30" spans="1:35" ht="15" customHeight="1" thickBot="1">
      <c r="A30" s="59">
        <v>27</v>
      </c>
      <c r="B30" s="20" t="str">
        <f>'1.HAFTA'!B30</f>
        <v>Mehmet Cakmak</v>
      </c>
      <c r="C30" s="21" t="s">
        <v>109</v>
      </c>
      <c r="D30" s="21">
        <v>1</v>
      </c>
      <c r="E30" s="21">
        <v>1</v>
      </c>
      <c r="F30" s="21">
        <v>1</v>
      </c>
      <c r="G30" s="21" t="s">
        <v>109</v>
      </c>
      <c r="H30" s="21" t="s">
        <v>109</v>
      </c>
      <c r="I30" s="21" t="s">
        <v>109</v>
      </c>
      <c r="J30" s="21"/>
      <c r="K30" s="21"/>
      <c r="L30" s="21"/>
      <c r="M30" s="21"/>
      <c r="N30" s="21"/>
      <c r="O30" s="21"/>
      <c r="P30" s="21"/>
      <c r="Q30" s="21" t="s">
        <v>109</v>
      </c>
      <c r="R30" s="21">
        <v>0</v>
      </c>
      <c r="S30" s="21" t="s">
        <v>109</v>
      </c>
      <c r="T30" s="21" t="s">
        <v>109</v>
      </c>
      <c r="U30" s="21" t="s">
        <v>109</v>
      </c>
      <c r="V30" s="21" t="s">
        <v>109</v>
      </c>
      <c r="W30" s="21" t="s">
        <v>109</v>
      </c>
      <c r="X30" s="21" t="s">
        <v>109</v>
      </c>
      <c r="Y30" s="21" t="s">
        <v>109</v>
      </c>
      <c r="Z30" s="21" t="s">
        <v>109</v>
      </c>
      <c r="AA30" s="21" t="s">
        <v>109</v>
      </c>
      <c r="AB30" s="21" t="s">
        <v>109</v>
      </c>
      <c r="AC30" s="21" t="s">
        <v>109</v>
      </c>
      <c r="AD30" s="21" t="s">
        <v>109</v>
      </c>
      <c r="AE30" s="23">
        <f t="shared" si="0"/>
        <v>1</v>
      </c>
      <c r="AF30" s="23" t="e">
        <f t="shared" si="1"/>
        <v>#DIV/0!</v>
      </c>
      <c r="AG30" s="10">
        <f t="shared" si="2"/>
        <v>0</v>
      </c>
      <c r="AH30" s="10" t="e">
        <f t="shared" si="3"/>
        <v>#DIV/0!</v>
      </c>
      <c r="AI30" s="8">
        <f t="shared" si="4"/>
        <v>0.75</v>
      </c>
    </row>
    <row r="31" spans="1:35" ht="15" customHeight="1">
      <c r="A31" s="4">
        <v>28</v>
      </c>
      <c r="B31" s="20" t="str">
        <f>'1.HAFTA'!B31</f>
        <v>Rasit Aldirmaz</v>
      </c>
      <c r="C31" s="21" t="s">
        <v>109</v>
      </c>
      <c r="D31" s="21">
        <v>1</v>
      </c>
      <c r="E31" s="21">
        <v>0</v>
      </c>
      <c r="F31" s="21">
        <v>1</v>
      </c>
      <c r="G31" s="21" t="s">
        <v>109</v>
      </c>
      <c r="H31" s="21" t="s">
        <v>109</v>
      </c>
      <c r="I31" s="21" t="s">
        <v>109</v>
      </c>
      <c r="J31" s="21"/>
      <c r="K31" s="21"/>
      <c r="L31" s="21"/>
      <c r="M31" s="21"/>
      <c r="N31" s="21"/>
      <c r="O31" s="21"/>
      <c r="P31" s="21"/>
      <c r="Q31" s="21" t="s">
        <v>109</v>
      </c>
      <c r="R31" s="21">
        <v>0</v>
      </c>
      <c r="S31" s="21" t="s">
        <v>109</v>
      </c>
      <c r="T31" s="21" t="s">
        <v>109</v>
      </c>
      <c r="U31" s="21" t="s">
        <v>109</v>
      </c>
      <c r="V31" s="21" t="s">
        <v>109</v>
      </c>
      <c r="W31" s="21" t="s">
        <v>109</v>
      </c>
      <c r="X31" s="21" t="s">
        <v>109</v>
      </c>
      <c r="Y31" s="21" t="s">
        <v>109</v>
      </c>
      <c r="Z31" s="21" t="s">
        <v>109</v>
      </c>
      <c r="AA31" s="21">
        <v>0</v>
      </c>
      <c r="AB31" s="21" t="s">
        <v>109</v>
      </c>
      <c r="AC31" s="21" t="s">
        <v>109</v>
      </c>
      <c r="AD31" s="21" t="s">
        <v>109</v>
      </c>
      <c r="AE31" s="23">
        <f t="shared" si="0"/>
        <v>0.66666666666666663</v>
      </c>
      <c r="AF31" s="23" t="e">
        <f t="shared" si="1"/>
        <v>#DIV/0!</v>
      </c>
      <c r="AG31" s="10">
        <f t="shared" si="2"/>
        <v>0</v>
      </c>
      <c r="AH31" s="10">
        <f t="shared" si="3"/>
        <v>0</v>
      </c>
      <c r="AI31" s="8">
        <f t="shared" si="4"/>
        <v>0.5</v>
      </c>
    </row>
    <row r="32" spans="1:35" ht="15" customHeight="1">
      <c r="A32" s="3">
        <v>29</v>
      </c>
      <c r="B32" s="20" t="str">
        <f>'1.HAFTA'!B32</f>
        <v>Tunahan Altun</v>
      </c>
      <c r="C32" s="21" t="s">
        <v>109</v>
      </c>
      <c r="D32" s="21" t="s">
        <v>109</v>
      </c>
      <c r="E32" s="21">
        <v>1</v>
      </c>
      <c r="F32" s="21">
        <v>1</v>
      </c>
      <c r="G32" s="21" t="s">
        <v>109</v>
      </c>
      <c r="H32" s="21" t="s">
        <v>109</v>
      </c>
      <c r="I32" s="21" t="s">
        <v>109</v>
      </c>
      <c r="J32" s="21"/>
      <c r="K32" s="21"/>
      <c r="L32" s="21"/>
      <c r="M32" s="21"/>
      <c r="N32" s="21"/>
      <c r="O32" s="21"/>
      <c r="P32" s="21"/>
      <c r="Q32" s="21" t="s">
        <v>109</v>
      </c>
      <c r="R32" s="21" t="s">
        <v>109</v>
      </c>
      <c r="S32" s="21" t="s">
        <v>109</v>
      </c>
      <c r="T32" s="21" t="s">
        <v>109</v>
      </c>
      <c r="U32" s="21" t="s">
        <v>109</v>
      </c>
      <c r="V32" s="21" t="s">
        <v>109</v>
      </c>
      <c r="W32" s="21" t="s">
        <v>109</v>
      </c>
      <c r="X32" s="21" t="s">
        <v>109</v>
      </c>
      <c r="Y32" s="21" t="s">
        <v>109</v>
      </c>
      <c r="Z32" s="21" t="s">
        <v>109</v>
      </c>
      <c r="AA32" s="21" t="s">
        <v>109</v>
      </c>
      <c r="AB32" s="21" t="s">
        <v>109</v>
      </c>
      <c r="AC32" s="21" t="s">
        <v>109</v>
      </c>
      <c r="AD32" s="21" t="s">
        <v>109</v>
      </c>
      <c r="AE32" s="23">
        <f t="shared" si="0"/>
        <v>1</v>
      </c>
      <c r="AF32" s="23" t="e">
        <f t="shared" si="1"/>
        <v>#DIV/0!</v>
      </c>
      <c r="AG32" s="10" t="e">
        <f t="shared" si="2"/>
        <v>#DIV/0!</v>
      </c>
      <c r="AH32" s="10" t="e">
        <f t="shared" si="3"/>
        <v>#DIV/0!</v>
      </c>
      <c r="AI32" s="8">
        <f t="shared" si="4"/>
        <v>1</v>
      </c>
    </row>
    <row r="33" spans="1:35" ht="15" customHeight="1" thickBot="1">
      <c r="A33" s="59">
        <v>30</v>
      </c>
      <c r="B33" s="20" t="str">
        <f>'1.HAFTA'!B33</f>
        <v>Yusuf Emin Doğan</v>
      </c>
      <c r="C33" s="21" t="s">
        <v>109</v>
      </c>
      <c r="D33" s="21">
        <v>1</v>
      </c>
      <c r="E33" s="21">
        <v>0</v>
      </c>
      <c r="F33" s="21">
        <v>0</v>
      </c>
      <c r="G33" s="21" t="s">
        <v>109</v>
      </c>
      <c r="H33" s="21" t="s">
        <v>109</v>
      </c>
      <c r="I33" s="21" t="s">
        <v>109</v>
      </c>
      <c r="J33" s="21"/>
      <c r="K33" s="21"/>
      <c r="L33" s="21"/>
      <c r="M33" s="21"/>
      <c r="N33" s="21"/>
      <c r="O33" s="21"/>
      <c r="P33" s="21"/>
      <c r="Q33" s="21" t="s">
        <v>109</v>
      </c>
      <c r="R33" s="21">
        <v>0</v>
      </c>
      <c r="S33" s="21" t="s">
        <v>109</v>
      </c>
      <c r="T33" s="21" t="s">
        <v>109</v>
      </c>
      <c r="U33" s="21" t="s">
        <v>109</v>
      </c>
      <c r="V33" s="21" t="s">
        <v>109</v>
      </c>
      <c r="W33" s="21" t="s">
        <v>109</v>
      </c>
      <c r="X33" s="21" t="s">
        <v>109</v>
      </c>
      <c r="Y33" s="21" t="s">
        <v>109</v>
      </c>
      <c r="Z33" s="21" t="s">
        <v>109</v>
      </c>
      <c r="AA33" s="21">
        <v>1</v>
      </c>
      <c r="AB33" s="21" t="s">
        <v>109</v>
      </c>
      <c r="AC33" s="21" t="s">
        <v>109</v>
      </c>
      <c r="AD33" s="21" t="s">
        <v>109</v>
      </c>
      <c r="AE33" s="23">
        <f t="shared" si="0"/>
        <v>0.33333333333333331</v>
      </c>
      <c r="AF33" s="23" t="e">
        <f t="shared" si="1"/>
        <v>#DIV/0!</v>
      </c>
      <c r="AG33" s="10">
        <f t="shared" si="2"/>
        <v>0</v>
      </c>
      <c r="AH33" s="10">
        <f t="shared" si="3"/>
        <v>1</v>
      </c>
      <c r="AI33" s="8">
        <f t="shared" si="4"/>
        <v>0.25</v>
      </c>
    </row>
    <row r="34" spans="1:35" ht="15" customHeight="1">
      <c r="A34" s="4">
        <v>31</v>
      </c>
      <c r="B34" s="20" t="str">
        <f>'1.HAFTA'!B34</f>
        <v>Ahmet Doğan</v>
      </c>
      <c r="C34" s="21" t="s">
        <v>109</v>
      </c>
      <c r="D34" s="21">
        <v>1</v>
      </c>
      <c r="E34" s="21">
        <v>1</v>
      </c>
      <c r="F34" s="21">
        <v>1</v>
      </c>
      <c r="G34" s="21" t="s">
        <v>109</v>
      </c>
      <c r="H34" s="21" t="s">
        <v>109</v>
      </c>
      <c r="I34" s="21" t="s">
        <v>109</v>
      </c>
      <c r="J34" s="21"/>
      <c r="K34" s="21"/>
      <c r="L34" s="21"/>
      <c r="M34" s="21"/>
      <c r="N34" s="21"/>
      <c r="O34" s="21"/>
      <c r="P34" s="21"/>
      <c r="Q34" s="21" t="s">
        <v>109</v>
      </c>
      <c r="R34" s="21" t="s">
        <v>109</v>
      </c>
      <c r="S34" s="21" t="s">
        <v>109</v>
      </c>
      <c r="T34" s="21" t="s">
        <v>109</v>
      </c>
      <c r="U34" s="21" t="s">
        <v>109</v>
      </c>
      <c r="V34" s="21" t="s">
        <v>109</v>
      </c>
      <c r="W34" s="21" t="s">
        <v>109</v>
      </c>
      <c r="X34" s="21" t="s">
        <v>109</v>
      </c>
      <c r="Y34" s="21" t="s">
        <v>109</v>
      </c>
      <c r="Z34" s="21" t="s">
        <v>109</v>
      </c>
      <c r="AA34" s="21">
        <v>0</v>
      </c>
      <c r="AB34" s="21" t="s">
        <v>109</v>
      </c>
      <c r="AC34" s="21" t="s">
        <v>109</v>
      </c>
      <c r="AD34" s="21" t="s">
        <v>109</v>
      </c>
      <c r="AE34" s="23">
        <f t="shared" ref="AE34:AE58" si="5">AVERAGE(C34:I34)</f>
        <v>1</v>
      </c>
      <c r="AF34" s="23" t="e">
        <f t="shared" si="1"/>
        <v>#DIV/0!</v>
      </c>
      <c r="AG34" s="10" t="e">
        <f t="shared" si="2"/>
        <v>#DIV/0!</v>
      </c>
      <c r="AH34" s="10">
        <f t="shared" si="3"/>
        <v>0</v>
      </c>
      <c r="AI34" s="8">
        <f t="shared" si="4"/>
        <v>1</v>
      </c>
    </row>
    <row r="35" spans="1:35" ht="15" customHeight="1">
      <c r="A35" s="3">
        <v>32</v>
      </c>
      <c r="B35" s="20" t="str">
        <f>'1.HAFTA'!B35</f>
        <v>Cihan Boorsma</v>
      </c>
      <c r="C35" s="21" t="s">
        <v>109</v>
      </c>
      <c r="D35" s="21">
        <v>1</v>
      </c>
      <c r="E35" s="21">
        <v>0</v>
      </c>
      <c r="F35" s="21">
        <v>1</v>
      </c>
      <c r="G35" s="21" t="s">
        <v>109</v>
      </c>
      <c r="H35" s="21" t="s">
        <v>109</v>
      </c>
      <c r="I35" s="21" t="s">
        <v>109</v>
      </c>
      <c r="J35" s="21"/>
      <c r="K35" s="21"/>
      <c r="L35" s="21"/>
      <c r="M35" s="21"/>
      <c r="N35" s="21"/>
      <c r="O35" s="21"/>
      <c r="P35" s="21"/>
      <c r="Q35" s="21" t="s">
        <v>109</v>
      </c>
      <c r="R35" s="21">
        <v>1</v>
      </c>
      <c r="S35" s="21" t="s">
        <v>109</v>
      </c>
      <c r="T35" s="21" t="s">
        <v>109</v>
      </c>
      <c r="U35" s="21" t="s">
        <v>109</v>
      </c>
      <c r="V35" s="21" t="s">
        <v>109</v>
      </c>
      <c r="W35" s="21" t="s">
        <v>109</v>
      </c>
      <c r="X35" s="21" t="s">
        <v>109</v>
      </c>
      <c r="Y35" s="21" t="s">
        <v>109</v>
      </c>
      <c r="Z35" s="21" t="s">
        <v>109</v>
      </c>
      <c r="AA35" s="21">
        <v>1</v>
      </c>
      <c r="AB35" s="21" t="s">
        <v>109</v>
      </c>
      <c r="AC35" s="21" t="s">
        <v>109</v>
      </c>
      <c r="AD35" s="21" t="s">
        <v>109</v>
      </c>
      <c r="AE35" s="23">
        <f t="shared" si="5"/>
        <v>0.66666666666666663</v>
      </c>
      <c r="AF35" s="23" t="e">
        <f t="shared" si="1"/>
        <v>#DIV/0!</v>
      </c>
      <c r="AG35" s="10">
        <f t="shared" si="2"/>
        <v>1</v>
      </c>
      <c r="AH35" s="10">
        <f t="shared" si="3"/>
        <v>1</v>
      </c>
      <c r="AI35" s="8">
        <f t="shared" si="4"/>
        <v>0.75</v>
      </c>
    </row>
    <row r="36" spans="1:35" ht="15" customHeight="1" thickBot="1">
      <c r="A36" s="59">
        <v>33</v>
      </c>
      <c r="B36" s="20" t="str">
        <f>'1.HAFTA'!B36</f>
        <v>Mehmethan Gür</v>
      </c>
      <c r="C36" s="21" t="s">
        <v>109</v>
      </c>
      <c r="D36" s="21">
        <v>1</v>
      </c>
      <c r="E36" s="21">
        <v>1</v>
      </c>
      <c r="F36" s="21">
        <v>0</v>
      </c>
      <c r="G36" s="21" t="s">
        <v>109</v>
      </c>
      <c r="H36" s="21" t="s">
        <v>109</v>
      </c>
      <c r="I36" s="21" t="s">
        <v>109</v>
      </c>
      <c r="J36" s="21"/>
      <c r="K36" s="21"/>
      <c r="L36" s="21"/>
      <c r="M36" s="21"/>
      <c r="N36" s="21"/>
      <c r="O36" s="21"/>
      <c r="P36" s="21"/>
      <c r="Q36" s="21" t="s">
        <v>109</v>
      </c>
      <c r="R36" s="21" t="s">
        <v>109</v>
      </c>
      <c r="S36" s="21" t="s">
        <v>109</v>
      </c>
      <c r="T36" s="21" t="s">
        <v>109</v>
      </c>
      <c r="U36" s="21" t="s">
        <v>109</v>
      </c>
      <c r="V36" s="21" t="s">
        <v>109</v>
      </c>
      <c r="W36" s="21" t="s">
        <v>109</v>
      </c>
      <c r="X36" s="21" t="s">
        <v>109</v>
      </c>
      <c r="Y36" s="21" t="s">
        <v>109</v>
      </c>
      <c r="Z36" s="21" t="s">
        <v>109</v>
      </c>
      <c r="AA36" s="21">
        <v>0</v>
      </c>
      <c r="AB36" s="21" t="s">
        <v>109</v>
      </c>
      <c r="AC36" s="21" t="s">
        <v>109</v>
      </c>
      <c r="AD36" s="21" t="s">
        <v>109</v>
      </c>
      <c r="AE36" s="23">
        <f t="shared" si="5"/>
        <v>0.66666666666666663</v>
      </c>
      <c r="AF36" s="23" t="e">
        <f t="shared" si="1"/>
        <v>#DIV/0!</v>
      </c>
      <c r="AG36" s="10" t="e">
        <f t="shared" si="2"/>
        <v>#DIV/0!</v>
      </c>
      <c r="AH36" s="10">
        <f t="shared" si="3"/>
        <v>0</v>
      </c>
      <c r="AI36" s="8">
        <f t="shared" si="4"/>
        <v>0.66666666666666663</v>
      </c>
    </row>
    <row r="37" spans="1:35" ht="15" customHeight="1">
      <c r="A37" s="4">
        <v>34</v>
      </c>
      <c r="B37" s="20" t="str">
        <f>'1.HAFTA'!B37</f>
        <v>Melih Taş</v>
      </c>
      <c r="C37" s="21" t="s">
        <v>109</v>
      </c>
      <c r="D37" s="21">
        <v>1</v>
      </c>
      <c r="E37" s="21">
        <v>1</v>
      </c>
      <c r="F37" s="21">
        <v>0</v>
      </c>
      <c r="G37" s="21" t="s">
        <v>109</v>
      </c>
      <c r="H37" s="21" t="s">
        <v>109</v>
      </c>
      <c r="I37" s="21" t="s">
        <v>109</v>
      </c>
      <c r="J37" s="21"/>
      <c r="K37" s="21"/>
      <c r="L37" s="21"/>
      <c r="M37" s="21"/>
      <c r="N37" s="21"/>
      <c r="O37" s="21"/>
      <c r="P37" s="21"/>
      <c r="Q37" s="21" t="s">
        <v>109</v>
      </c>
      <c r="R37" s="21" t="s">
        <v>109</v>
      </c>
      <c r="S37" s="21" t="s">
        <v>109</v>
      </c>
      <c r="T37" s="21" t="s">
        <v>109</v>
      </c>
      <c r="U37" s="21" t="s">
        <v>109</v>
      </c>
      <c r="V37" s="21" t="s">
        <v>109</v>
      </c>
      <c r="W37" s="21" t="s">
        <v>109</v>
      </c>
      <c r="X37" s="21" t="s">
        <v>109</v>
      </c>
      <c r="Y37" s="21" t="s">
        <v>109</v>
      </c>
      <c r="Z37" s="21" t="s">
        <v>109</v>
      </c>
      <c r="AA37" s="21">
        <v>0</v>
      </c>
      <c r="AB37" s="21" t="s">
        <v>109</v>
      </c>
      <c r="AC37" s="21" t="s">
        <v>109</v>
      </c>
      <c r="AD37" s="21" t="s">
        <v>109</v>
      </c>
      <c r="AE37" s="23">
        <f t="shared" si="5"/>
        <v>0.66666666666666663</v>
      </c>
      <c r="AF37" s="23" t="e">
        <f t="shared" si="1"/>
        <v>#DIV/0!</v>
      </c>
      <c r="AG37" s="10" t="e">
        <f t="shared" si="2"/>
        <v>#DIV/0!</v>
      </c>
      <c r="AH37" s="10">
        <f t="shared" si="3"/>
        <v>0</v>
      </c>
      <c r="AI37" s="8">
        <f t="shared" si="4"/>
        <v>0.66666666666666663</v>
      </c>
    </row>
    <row r="38" spans="1:35" ht="15" customHeight="1">
      <c r="A38" s="3">
        <v>35</v>
      </c>
      <c r="B38" s="20" t="str">
        <f>'1.HAFTA'!B38</f>
        <v>Melih Uzun</v>
      </c>
      <c r="C38" s="21" t="s">
        <v>109</v>
      </c>
      <c r="D38" s="21">
        <v>1</v>
      </c>
      <c r="E38" s="21">
        <v>0</v>
      </c>
      <c r="F38" s="21" t="s">
        <v>109</v>
      </c>
      <c r="G38" s="21" t="s">
        <v>109</v>
      </c>
      <c r="H38" s="21" t="s">
        <v>109</v>
      </c>
      <c r="I38" s="21" t="s">
        <v>109</v>
      </c>
      <c r="J38" s="21"/>
      <c r="K38" s="21"/>
      <c r="L38" s="21"/>
      <c r="M38" s="21"/>
      <c r="N38" s="21"/>
      <c r="O38" s="21"/>
      <c r="P38" s="21"/>
      <c r="Q38" s="21" t="s">
        <v>109</v>
      </c>
      <c r="R38" s="21">
        <v>1</v>
      </c>
      <c r="S38" s="21" t="s">
        <v>109</v>
      </c>
      <c r="T38" s="21" t="s">
        <v>109</v>
      </c>
      <c r="U38" s="21" t="s">
        <v>109</v>
      </c>
      <c r="V38" s="21" t="s">
        <v>109</v>
      </c>
      <c r="W38" s="21" t="s">
        <v>109</v>
      </c>
      <c r="X38" s="21" t="s">
        <v>109</v>
      </c>
      <c r="Y38" s="21" t="s">
        <v>109</v>
      </c>
      <c r="Z38" s="21" t="s">
        <v>109</v>
      </c>
      <c r="AA38" s="21">
        <v>1</v>
      </c>
      <c r="AB38" s="21" t="s">
        <v>109</v>
      </c>
      <c r="AC38" s="21" t="s">
        <v>109</v>
      </c>
      <c r="AD38" s="21" t="s">
        <v>109</v>
      </c>
      <c r="AE38" s="23">
        <f t="shared" si="5"/>
        <v>0.5</v>
      </c>
      <c r="AF38" s="23" t="e">
        <f t="shared" si="1"/>
        <v>#DIV/0!</v>
      </c>
      <c r="AG38" s="10">
        <f t="shared" si="2"/>
        <v>1</v>
      </c>
      <c r="AH38" s="10">
        <f t="shared" si="3"/>
        <v>1</v>
      </c>
      <c r="AI38" s="8">
        <f t="shared" si="4"/>
        <v>0.66666666666666663</v>
      </c>
    </row>
    <row r="39" spans="1:35" ht="15" customHeight="1" thickBot="1">
      <c r="A39" s="59">
        <v>36</v>
      </c>
      <c r="B39" s="20" t="str">
        <f>'1.HAFTA'!B39</f>
        <v>Mucahit Kan</v>
      </c>
      <c r="C39" s="21" t="s">
        <v>109</v>
      </c>
      <c r="D39" s="21">
        <v>1</v>
      </c>
      <c r="E39" s="21">
        <v>0</v>
      </c>
      <c r="F39" s="21">
        <v>1</v>
      </c>
      <c r="G39" s="21" t="s">
        <v>109</v>
      </c>
      <c r="H39" s="21" t="s">
        <v>109</v>
      </c>
      <c r="I39" s="21" t="s">
        <v>109</v>
      </c>
      <c r="J39" s="21"/>
      <c r="K39" s="21"/>
      <c r="L39" s="21"/>
      <c r="M39" s="21"/>
      <c r="N39" s="21"/>
      <c r="O39" s="21"/>
      <c r="P39" s="21"/>
      <c r="Q39" s="21" t="s">
        <v>109</v>
      </c>
      <c r="R39" s="21" t="s">
        <v>109</v>
      </c>
      <c r="S39" s="21" t="s">
        <v>109</v>
      </c>
      <c r="T39" s="21" t="s">
        <v>109</v>
      </c>
      <c r="U39" s="21" t="s">
        <v>109</v>
      </c>
      <c r="V39" s="21" t="s">
        <v>109</v>
      </c>
      <c r="W39" s="21" t="s">
        <v>109</v>
      </c>
      <c r="X39" s="21" t="s">
        <v>109</v>
      </c>
      <c r="Y39" s="21" t="s">
        <v>109</v>
      </c>
      <c r="Z39" s="21" t="s">
        <v>109</v>
      </c>
      <c r="AA39" s="21">
        <v>0</v>
      </c>
      <c r="AB39" s="21" t="s">
        <v>109</v>
      </c>
      <c r="AC39" s="21" t="s">
        <v>109</v>
      </c>
      <c r="AD39" s="21" t="s">
        <v>109</v>
      </c>
      <c r="AE39" s="23">
        <f t="shared" si="5"/>
        <v>0.66666666666666663</v>
      </c>
      <c r="AF39" s="23" t="e">
        <f t="shared" si="1"/>
        <v>#DIV/0!</v>
      </c>
      <c r="AG39" s="10" t="e">
        <f t="shared" si="2"/>
        <v>#DIV/0!</v>
      </c>
      <c r="AH39" s="10">
        <f t="shared" si="3"/>
        <v>0</v>
      </c>
      <c r="AI39" s="8">
        <f t="shared" si="4"/>
        <v>0.66666666666666663</v>
      </c>
    </row>
    <row r="40" spans="1:35" ht="15" customHeight="1">
      <c r="A40" s="4">
        <v>37</v>
      </c>
      <c r="B40" s="20" t="str">
        <f>'1.HAFTA'!B40</f>
        <v>Oğuzhan Üzümcü</v>
      </c>
      <c r="C40" s="21" t="s">
        <v>109</v>
      </c>
      <c r="D40" s="21" t="s">
        <v>109</v>
      </c>
      <c r="E40" s="21" t="s">
        <v>109</v>
      </c>
      <c r="F40" s="21">
        <v>1</v>
      </c>
      <c r="G40" s="21" t="s">
        <v>109</v>
      </c>
      <c r="H40" s="21" t="s">
        <v>109</v>
      </c>
      <c r="I40" s="21" t="s">
        <v>109</v>
      </c>
      <c r="J40" s="21"/>
      <c r="K40" s="21"/>
      <c r="L40" s="21"/>
      <c r="M40" s="21"/>
      <c r="N40" s="21"/>
      <c r="O40" s="21"/>
      <c r="P40" s="21"/>
      <c r="Q40" s="21" t="s">
        <v>109</v>
      </c>
      <c r="R40" s="21" t="s">
        <v>109</v>
      </c>
      <c r="S40" s="21" t="s">
        <v>109</v>
      </c>
      <c r="T40" s="21" t="s">
        <v>109</v>
      </c>
      <c r="U40" s="21" t="s">
        <v>109</v>
      </c>
      <c r="V40" s="21" t="s">
        <v>109</v>
      </c>
      <c r="W40" s="21" t="s">
        <v>109</v>
      </c>
      <c r="X40" s="21" t="s">
        <v>109</v>
      </c>
      <c r="Y40" s="21" t="s">
        <v>109</v>
      </c>
      <c r="Z40" s="21" t="s">
        <v>109</v>
      </c>
      <c r="AA40" s="21">
        <v>0</v>
      </c>
      <c r="AB40" s="21" t="s">
        <v>109</v>
      </c>
      <c r="AC40" s="21" t="s">
        <v>109</v>
      </c>
      <c r="AD40" s="21" t="s">
        <v>109</v>
      </c>
      <c r="AE40" s="23">
        <f t="shared" si="5"/>
        <v>1</v>
      </c>
      <c r="AF40" s="23" t="e">
        <f t="shared" si="1"/>
        <v>#DIV/0!</v>
      </c>
      <c r="AG40" s="10" t="e">
        <f t="shared" si="2"/>
        <v>#DIV/0!</v>
      </c>
      <c r="AH40" s="10">
        <f t="shared" si="3"/>
        <v>0</v>
      </c>
      <c r="AI40" s="8">
        <f t="shared" si="4"/>
        <v>1</v>
      </c>
    </row>
    <row r="41" spans="1:35" ht="15" customHeight="1">
      <c r="A41" s="3">
        <v>38</v>
      </c>
      <c r="B41" s="20" t="str">
        <f>'1.HAFTA'!B41</f>
        <v>Orhan Boyacıoğlu</v>
      </c>
      <c r="C41" s="21" t="s">
        <v>109</v>
      </c>
      <c r="D41" s="21">
        <v>1</v>
      </c>
      <c r="E41" s="21">
        <v>1</v>
      </c>
      <c r="F41" s="21" t="s">
        <v>109</v>
      </c>
      <c r="G41" s="21" t="s">
        <v>109</v>
      </c>
      <c r="H41" s="21" t="s">
        <v>109</v>
      </c>
      <c r="I41" s="21" t="s">
        <v>109</v>
      </c>
      <c r="J41" s="21"/>
      <c r="K41" s="21"/>
      <c r="L41" s="21"/>
      <c r="M41" s="21"/>
      <c r="N41" s="21"/>
      <c r="O41" s="21"/>
      <c r="P41" s="21"/>
      <c r="Q41" s="21" t="s">
        <v>109</v>
      </c>
      <c r="R41" s="21">
        <v>1</v>
      </c>
      <c r="S41" s="21" t="s">
        <v>109</v>
      </c>
      <c r="T41" s="21" t="s">
        <v>109</v>
      </c>
      <c r="U41" s="21" t="s">
        <v>109</v>
      </c>
      <c r="V41" s="21" t="s">
        <v>109</v>
      </c>
      <c r="W41" s="21" t="s">
        <v>109</v>
      </c>
      <c r="X41" s="21" t="s">
        <v>109</v>
      </c>
      <c r="Y41" s="21" t="s">
        <v>109</v>
      </c>
      <c r="Z41" s="21" t="s">
        <v>109</v>
      </c>
      <c r="AA41" s="21">
        <v>1</v>
      </c>
      <c r="AB41" s="21" t="s">
        <v>109</v>
      </c>
      <c r="AC41" s="21" t="s">
        <v>109</v>
      </c>
      <c r="AD41" s="21" t="s">
        <v>109</v>
      </c>
      <c r="AE41" s="23">
        <f t="shared" si="5"/>
        <v>1</v>
      </c>
      <c r="AF41" s="23" t="e">
        <f t="shared" si="1"/>
        <v>#DIV/0!</v>
      </c>
      <c r="AG41" s="10">
        <f t="shared" si="2"/>
        <v>1</v>
      </c>
      <c r="AH41" s="10">
        <f t="shared" si="3"/>
        <v>1</v>
      </c>
      <c r="AI41" s="8">
        <f t="shared" si="4"/>
        <v>1</v>
      </c>
    </row>
    <row r="42" spans="1:35" ht="15" customHeight="1" thickBot="1">
      <c r="A42" s="59">
        <v>39</v>
      </c>
      <c r="B42" s="20" t="str">
        <f>'1.HAFTA'!B42</f>
        <v>Osman Sevilir</v>
      </c>
      <c r="C42" s="21" t="s">
        <v>109</v>
      </c>
      <c r="D42" s="21" t="s">
        <v>109</v>
      </c>
      <c r="E42" s="21">
        <v>0</v>
      </c>
      <c r="F42" s="21" t="s">
        <v>109</v>
      </c>
      <c r="G42" s="21" t="s">
        <v>109</v>
      </c>
      <c r="H42" s="21" t="s">
        <v>109</v>
      </c>
      <c r="I42" s="21" t="s">
        <v>109</v>
      </c>
      <c r="J42" s="21"/>
      <c r="K42" s="21"/>
      <c r="L42" s="21"/>
      <c r="M42" s="21"/>
      <c r="N42" s="21"/>
      <c r="O42" s="21"/>
      <c r="P42" s="21"/>
      <c r="Q42" s="21" t="s">
        <v>109</v>
      </c>
      <c r="R42" s="21">
        <v>0</v>
      </c>
      <c r="S42" s="21" t="s">
        <v>109</v>
      </c>
      <c r="T42" s="21" t="s">
        <v>109</v>
      </c>
      <c r="U42" s="21" t="s">
        <v>109</v>
      </c>
      <c r="V42" s="21" t="s">
        <v>109</v>
      </c>
      <c r="W42" s="21" t="s">
        <v>109</v>
      </c>
      <c r="X42" s="21" t="s">
        <v>109</v>
      </c>
      <c r="Y42" s="21" t="s">
        <v>109</v>
      </c>
      <c r="Z42" s="21" t="s">
        <v>109</v>
      </c>
      <c r="AA42" s="21">
        <v>1</v>
      </c>
      <c r="AB42" s="21" t="s">
        <v>109</v>
      </c>
      <c r="AC42" s="21" t="s">
        <v>109</v>
      </c>
      <c r="AD42" s="21" t="s">
        <v>109</v>
      </c>
      <c r="AE42" s="23">
        <f t="shared" si="5"/>
        <v>0</v>
      </c>
      <c r="AF42" s="23" t="e">
        <f t="shared" si="1"/>
        <v>#DIV/0!</v>
      </c>
      <c r="AG42" s="10">
        <f t="shared" si="2"/>
        <v>0</v>
      </c>
      <c r="AH42" s="10">
        <f t="shared" si="3"/>
        <v>1</v>
      </c>
      <c r="AI42" s="8">
        <f t="shared" si="4"/>
        <v>0</v>
      </c>
    </row>
    <row r="43" spans="1:35" ht="15" customHeight="1">
      <c r="A43" s="4">
        <v>40</v>
      </c>
      <c r="B43" s="20" t="str">
        <f>'1.HAFTA'!B43</f>
        <v>Salih Gedik</v>
      </c>
      <c r="C43" s="21" t="s">
        <v>109</v>
      </c>
      <c r="D43" s="21">
        <v>0</v>
      </c>
      <c r="E43" s="21">
        <v>0</v>
      </c>
      <c r="F43" s="21">
        <v>0</v>
      </c>
      <c r="G43" s="21" t="s">
        <v>109</v>
      </c>
      <c r="H43" s="21" t="s">
        <v>109</v>
      </c>
      <c r="I43" s="21" t="s">
        <v>109</v>
      </c>
      <c r="J43" s="21"/>
      <c r="K43" s="21"/>
      <c r="L43" s="21"/>
      <c r="M43" s="21"/>
      <c r="N43" s="21"/>
      <c r="O43" s="21"/>
      <c r="P43" s="21"/>
      <c r="Q43" s="21" t="s">
        <v>109</v>
      </c>
      <c r="R43" s="21" t="s">
        <v>109</v>
      </c>
      <c r="S43" s="21" t="s">
        <v>109</v>
      </c>
      <c r="T43" s="21" t="s">
        <v>109</v>
      </c>
      <c r="U43" s="21" t="s">
        <v>109</v>
      </c>
      <c r="V43" s="21" t="s">
        <v>109</v>
      </c>
      <c r="W43" s="21" t="s">
        <v>109</v>
      </c>
      <c r="X43" s="21" t="s">
        <v>109</v>
      </c>
      <c r="Y43" s="21" t="s">
        <v>109</v>
      </c>
      <c r="Z43" s="21" t="s">
        <v>109</v>
      </c>
      <c r="AA43" s="21">
        <v>0</v>
      </c>
      <c r="AB43" s="21" t="s">
        <v>109</v>
      </c>
      <c r="AC43" s="21" t="s">
        <v>109</v>
      </c>
      <c r="AD43" s="21" t="s">
        <v>109</v>
      </c>
      <c r="AE43" s="23">
        <f t="shared" si="5"/>
        <v>0</v>
      </c>
      <c r="AF43" s="23" t="e">
        <f t="shared" si="1"/>
        <v>#DIV/0!</v>
      </c>
      <c r="AG43" s="10" t="e">
        <f t="shared" si="2"/>
        <v>#DIV/0!</v>
      </c>
      <c r="AH43" s="10">
        <f t="shared" si="3"/>
        <v>0</v>
      </c>
      <c r="AI43" s="8">
        <f t="shared" si="4"/>
        <v>0</v>
      </c>
    </row>
    <row r="44" spans="1:35" ht="15" customHeight="1">
      <c r="A44" s="3">
        <v>41</v>
      </c>
      <c r="B44" s="20" t="str">
        <f>'1.HAFTA'!B44</f>
        <v>Usame Alışkan</v>
      </c>
      <c r="C44" s="21" t="s">
        <v>109</v>
      </c>
      <c r="D44" s="21">
        <v>1</v>
      </c>
      <c r="E44" s="21">
        <v>1</v>
      </c>
      <c r="F44" s="21">
        <v>1</v>
      </c>
      <c r="G44" s="21" t="s">
        <v>109</v>
      </c>
      <c r="H44" s="21" t="s">
        <v>109</v>
      </c>
      <c r="I44" s="21" t="s">
        <v>109</v>
      </c>
      <c r="J44" s="21"/>
      <c r="K44" s="21"/>
      <c r="L44" s="21"/>
      <c r="M44" s="21"/>
      <c r="N44" s="21"/>
      <c r="O44" s="21"/>
      <c r="P44" s="21"/>
      <c r="Q44" s="21" t="s">
        <v>109</v>
      </c>
      <c r="R44" s="21" t="s">
        <v>109</v>
      </c>
      <c r="S44" s="21" t="s">
        <v>109</v>
      </c>
      <c r="T44" s="21" t="s">
        <v>109</v>
      </c>
      <c r="U44" s="21" t="s">
        <v>109</v>
      </c>
      <c r="V44" s="21" t="s">
        <v>109</v>
      </c>
      <c r="W44" s="21" t="s">
        <v>109</v>
      </c>
      <c r="X44" s="21" t="s">
        <v>109</v>
      </c>
      <c r="Y44" s="21" t="s">
        <v>109</v>
      </c>
      <c r="Z44" s="21" t="s">
        <v>109</v>
      </c>
      <c r="AA44" s="21">
        <v>1</v>
      </c>
      <c r="AB44" s="21" t="s">
        <v>109</v>
      </c>
      <c r="AC44" s="21" t="s">
        <v>109</v>
      </c>
      <c r="AD44" s="21" t="s">
        <v>109</v>
      </c>
      <c r="AE44" s="23">
        <f t="shared" si="5"/>
        <v>1</v>
      </c>
      <c r="AF44" s="23" t="e">
        <f t="shared" si="1"/>
        <v>#DIV/0!</v>
      </c>
      <c r="AG44" s="10" t="e">
        <f t="shared" si="2"/>
        <v>#DIV/0!</v>
      </c>
      <c r="AH44" s="10">
        <f t="shared" si="3"/>
        <v>1</v>
      </c>
      <c r="AI44" s="8">
        <f t="shared" si="4"/>
        <v>1</v>
      </c>
    </row>
    <row r="45" spans="1:35" ht="15" customHeight="1" thickBot="1">
      <c r="A45" s="59">
        <v>42</v>
      </c>
      <c r="B45" s="60" t="str">
        <f>'1.HAFTA'!B45</f>
        <v>Yusuf Can Nas</v>
      </c>
      <c r="C45" s="21" t="s">
        <v>109</v>
      </c>
      <c r="D45" s="21">
        <v>0</v>
      </c>
      <c r="E45" s="21">
        <v>1</v>
      </c>
      <c r="F45" s="21">
        <v>0</v>
      </c>
      <c r="G45" s="21" t="s">
        <v>109</v>
      </c>
      <c r="H45" s="21" t="s">
        <v>109</v>
      </c>
      <c r="I45" s="21" t="s">
        <v>109</v>
      </c>
      <c r="J45" s="21"/>
      <c r="K45" s="21"/>
      <c r="L45" s="21"/>
      <c r="M45" s="21"/>
      <c r="N45" s="21"/>
      <c r="O45" s="21"/>
      <c r="P45" s="21"/>
      <c r="Q45" s="21" t="s">
        <v>109</v>
      </c>
      <c r="R45" s="21" t="s">
        <v>109</v>
      </c>
      <c r="S45" s="21" t="s">
        <v>109</v>
      </c>
      <c r="T45" s="21" t="s">
        <v>109</v>
      </c>
      <c r="U45" s="21" t="s">
        <v>109</v>
      </c>
      <c r="V45" s="21" t="s">
        <v>109</v>
      </c>
      <c r="W45" s="21" t="s">
        <v>109</v>
      </c>
      <c r="X45" s="21" t="s">
        <v>109</v>
      </c>
      <c r="Y45" s="21" t="s">
        <v>109</v>
      </c>
      <c r="Z45" s="21" t="s">
        <v>109</v>
      </c>
      <c r="AA45" s="21">
        <v>1</v>
      </c>
      <c r="AB45" s="21" t="s">
        <v>109</v>
      </c>
      <c r="AC45" s="21" t="s">
        <v>109</v>
      </c>
      <c r="AD45" s="21" t="s">
        <v>109</v>
      </c>
      <c r="AE45" s="23">
        <f t="shared" si="5"/>
        <v>0.33333333333333331</v>
      </c>
      <c r="AF45" s="23" t="e">
        <f t="shared" si="1"/>
        <v>#DIV/0!</v>
      </c>
      <c r="AG45" s="10" t="e">
        <f t="shared" si="2"/>
        <v>#DIV/0!</v>
      </c>
      <c r="AH45" s="10">
        <f t="shared" si="3"/>
        <v>1</v>
      </c>
      <c r="AI45" s="8">
        <f t="shared" si="4"/>
        <v>0.33333333333333331</v>
      </c>
    </row>
    <row r="46" spans="1:35" ht="15" customHeight="1">
      <c r="A46" s="4">
        <v>43</v>
      </c>
      <c r="B46" s="47">
        <f>('1.HAFTA'!B46)</f>
        <v>0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3" t="e">
        <f t="shared" si="5"/>
        <v>#DIV/0!</v>
      </c>
      <c r="AF46" s="23" t="e">
        <f t="shared" si="1"/>
        <v>#DIV/0!</v>
      </c>
      <c r="AG46" s="10" t="e">
        <f t="shared" si="2"/>
        <v>#DIV/0!</v>
      </c>
      <c r="AH46" s="10" t="e">
        <f t="shared" si="3"/>
        <v>#DIV/0!</v>
      </c>
      <c r="AI46" s="8" t="e">
        <f t="shared" si="4"/>
        <v>#DIV/0!</v>
      </c>
    </row>
    <row r="47" spans="1:35" ht="15" customHeight="1">
      <c r="A47" s="3">
        <v>44</v>
      </c>
      <c r="B47" s="47">
        <f>('1.HAFTA'!B47)</f>
        <v>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3" t="e">
        <f t="shared" si="5"/>
        <v>#DIV/0!</v>
      </c>
      <c r="AF47" s="23" t="e">
        <f t="shared" si="1"/>
        <v>#DIV/0!</v>
      </c>
      <c r="AG47" s="10" t="e">
        <f t="shared" si="2"/>
        <v>#DIV/0!</v>
      </c>
      <c r="AH47" s="10" t="e">
        <f t="shared" si="3"/>
        <v>#DIV/0!</v>
      </c>
      <c r="AI47" s="8" t="e">
        <f t="shared" si="4"/>
        <v>#DIV/0!</v>
      </c>
    </row>
    <row r="48" spans="1:35" ht="15" customHeight="1" thickBot="1">
      <c r="A48" s="59">
        <v>45</v>
      </c>
      <c r="B48" s="20">
        <f>('1.HAFTA'!B48)</f>
        <v>0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3" t="e">
        <f t="shared" si="5"/>
        <v>#DIV/0!</v>
      </c>
      <c r="AF48" s="23" t="e">
        <f t="shared" si="1"/>
        <v>#DIV/0!</v>
      </c>
      <c r="AG48" s="10" t="e">
        <f t="shared" si="2"/>
        <v>#DIV/0!</v>
      </c>
      <c r="AH48" s="10" t="e">
        <f t="shared" si="3"/>
        <v>#DIV/0!</v>
      </c>
      <c r="AI48" s="8" t="e">
        <f t="shared" si="4"/>
        <v>#DIV/0!</v>
      </c>
    </row>
    <row r="49" spans="1:35" ht="15" customHeight="1" thickBot="1">
      <c r="A49" s="4">
        <v>46</v>
      </c>
      <c r="B49" s="60">
        <f>('1.HAFTA'!B49)</f>
        <v>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3" t="e">
        <f t="shared" si="5"/>
        <v>#DIV/0!</v>
      </c>
      <c r="AF49" s="23" t="e">
        <f t="shared" si="1"/>
        <v>#DIV/0!</v>
      </c>
      <c r="AG49" s="10" t="e">
        <f t="shared" si="2"/>
        <v>#DIV/0!</v>
      </c>
      <c r="AH49" s="10" t="e">
        <f t="shared" si="3"/>
        <v>#DIV/0!</v>
      </c>
      <c r="AI49" s="8" t="e">
        <f t="shared" si="4"/>
        <v>#DIV/0!</v>
      </c>
    </row>
    <row r="50" spans="1:35" ht="15" customHeight="1">
      <c r="A50" s="3">
        <v>47</v>
      </c>
      <c r="B50" s="47">
        <f>('1.HAFTA'!B50)</f>
        <v>0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3" t="e">
        <f t="shared" si="5"/>
        <v>#DIV/0!</v>
      </c>
      <c r="AF50" s="23" t="e">
        <f t="shared" si="1"/>
        <v>#DIV/0!</v>
      </c>
      <c r="AG50" s="10" t="e">
        <f t="shared" si="2"/>
        <v>#DIV/0!</v>
      </c>
      <c r="AH50" s="10" t="e">
        <f t="shared" si="3"/>
        <v>#DIV/0!</v>
      </c>
      <c r="AI50" s="8" t="e">
        <f t="shared" si="4"/>
        <v>#DIV/0!</v>
      </c>
    </row>
    <row r="51" spans="1:35" ht="15" customHeight="1" thickBot="1">
      <c r="A51" s="59">
        <v>48</v>
      </c>
      <c r="B51" s="20">
        <f>('1.HAFTA'!B51)</f>
        <v>0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3" t="e">
        <f t="shared" si="5"/>
        <v>#DIV/0!</v>
      </c>
      <c r="AF51" s="23" t="e">
        <f t="shared" si="1"/>
        <v>#DIV/0!</v>
      </c>
      <c r="AG51" s="10" t="e">
        <f t="shared" si="2"/>
        <v>#DIV/0!</v>
      </c>
      <c r="AH51" s="10" t="e">
        <f t="shared" si="3"/>
        <v>#DIV/0!</v>
      </c>
      <c r="AI51" s="8" t="e">
        <f t="shared" si="4"/>
        <v>#DIV/0!</v>
      </c>
    </row>
    <row r="52" spans="1:35" ht="15" customHeight="1">
      <c r="A52" s="4">
        <v>49</v>
      </c>
      <c r="B52" s="20">
        <f>('1.HAFTA'!B52)</f>
        <v>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3" t="e">
        <f t="shared" si="5"/>
        <v>#DIV/0!</v>
      </c>
      <c r="AF52" s="23" t="e">
        <f t="shared" si="1"/>
        <v>#DIV/0!</v>
      </c>
      <c r="AG52" s="10" t="e">
        <f t="shared" si="2"/>
        <v>#DIV/0!</v>
      </c>
      <c r="AH52" s="10" t="e">
        <f t="shared" si="3"/>
        <v>#DIV/0!</v>
      </c>
      <c r="AI52" s="8" t="e">
        <f t="shared" si="4"/>
        <v>#DIV/0!</v>
      </c>
    </row>
    <row r="53" spans="1:35" ht="15" customHeight="1">
      <c r="A53" s="3">
        <v>50</v>
      </c>
      <c r="B53" s="20">
        <f>('1.HAFTA'!B53)</f>
        <v>0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3" t="e">
        <f t="shared" si="5"/>
        <v>#DIV/0!</v>
      </c>
      <c r="AF53" s="23" t="e">
        <f t="shared" si="1"/>
        <v>#DIV/0!</v>
      </c>
      <c r="AG53" s="10" t="e">
        <f t="shared" si="2"/>
        <v>#DIV/0!</v>
      </c>
      <c r="AH53" s="10" t="e">
        <f t="shared" si="3"/>
        <v>#DIV/0!</v>
      </c>
      <c r="AI53" s="8" t="e">
        <f t="shared" si="4"/>
        <v>#DIV/0!</v>
      </c>
    </row>
    <row r="54" spans="1:35" ht="15" customHeight="1" thickBot="1">
      <c r="A54" s="59">
        <v>51</v>
      </c>
      <c r="B54" s="20">
        <f>('1.HAFTA'!B54)</f>
        <v>0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3" t="e">
        <f t="shared" si="5"/>
        <v>#DIV/0!</v>
      </c>
      <c r="AF54" s="23" t="e">
        <f t="shared" si="1"/>
        <v>#DIV/0!</v>
      </c>
      <c r="AG54" s="10" t="e">
        <f t="shared" si="2"/>
        <v>#DIV/0!</v>
      </c>
      <c r="AH54" s="10" t="e">
        <f t="shared" si="3"/>
        <v>#DIV/0!</v>
      </c>
      <c r="AI54" s="8" t="e">
        <f t="shared" si="4"/>
        <v>#DIV/0!</v>
      </c>
    </row>
    <row r="55" spans="1:35" ht="15" customHeight="1">
      <c r="A55" s="4">
        <v>52</v>
      </c>
      <c r="B55" s="20">
        <f>('1.HAFTA'!B55)</f>
        <v>0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3" t="e">
        <f t="shared" si="5"/>
        <v>#DIV/0!</v>
      </c>
      <c r="AF55" s="23" t="e">
        <f t="shared" si="1"/>
        <v>#DIV/0!</v>
      </c>
      <c r="AG55" s="10" t="e">
        <f t="shared" si="2"/>
        <v>#DIV/0!</v>
      </c>
      <c r="AH55" s="10" t="e">
        <f t="shared" si="3"/>
        <v>#DIV/0!</v>
      </c>
      <c r="AI55" s="8" t="e">
        <f t="shared" si="4"/>
        <v>#DIV/0!</v>
      </c>
    </row>
    <row r="56" spans="1:35" ht="15" customHeight="1">
      <c r="A56" s="3">
        <v>53</v>
      </c>
      <c r="B56" s="20">
        <f>('1.HAFTA'!B56)</f>
        <v>0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3" t="e">
        <f t="shared" si="5"/>
        <v>#DIV/0!</v>
      </c>
      <c r="AF56" s="23" t="e">
        <f t="shared" si="1"/>
        <v>#DIV/0!</v>
      </c>
      <c r="AG56" s="10" t="e">
        <f t="shared" si="2"/>
        <v>#DIV/0!</v>
      </c>
      <c r="AH56" s="10" t="e">
        <f t="shared" si="3"/>
        <v>#DIV/0!</v>
      </c>
      <c r="AI56" s="8" t="e">
        <f t="shared" si="4"/>
        <v>#DIV/0!</v>
      </c>
    </row>
    <row r="57" spans="1:35" ht="15" customHeight="1" thickBot="1">
      <c r="A57" s="59">
        <v>54</v>
      </c>
      <c r="B57" s="20">
        <f>('1.HAFTA'!B57)</f>
        <v>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3" t="e">
        <f t="shared" si="5"/>
        <v>#DIV/0!</v>
      </c>
      <c r="AF57" s="23" t="e">
        <f t="shared" si="1"/>
        <v>#DIV/0!</v>
      </c>
      <c r="AG57" s="10" t="e">
        <f t="shared" si="2"/>
        <v>#DIV/0!</v>
      </c>
      <c r="AH57" s="10" t="e">
        <f t="shared" si="3"/>
        <v>#DIV/0!</v>
      </c>
      <c r="AI57" s="8" t="e">
        <f t="shared" si="4"/>
        <v>#DIV/0!</v>
      </c>
    </row>
    <row r="58" spans="1:35" ht="15">
      <c r="A58" s="4">
        <v>55</v>
      </c>
      <c r="B58" s="20" t="s">
        <v>83</v>
      </c>
      <c r="C58" s="43"/>
      <c r="D58" s="43"/>
      <c r="E58" s="43"/>
      <c r="F58" s="43"/>
      <c r="G58" s="43"/>
      <c r="H58" s="21"/>
      <c r="I58" s="21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21"/>
      <c r="V58" s="21"/>
      <c r="W58" s="21"/>
      <c r="X58" s="43"/>
      <c r="Y58" s="43"/>
      <c r="Z58" s="43"/>
      <c r="AA58" s="43"/>
      <c r="AB58" s="43"/>
      <c r="AC58" s="21"/>
      <c r="AD58" s="21"/>
      <c r="AE58" s="23" t="e">
        <f t="shared" si="5"/>
        <v>#DIV/0!</v>
      </c>
      <c r="AF58" s="23" t="e">
        <f t="shared" ref="AF58" si="6">AVERAGE(J58:P58)</f>
        <v>#DIV/0!</v>
      </c>
      <c r="AG58" s="10" t="e">
        <f t="shared" ref="AG58" si="7">AVERAGE(Q58:W58)</f>
        <v>#DIV/0!</v>
      </c>
      <c r="AH58" s="10" t="e">
        <f t="shared" ref="AH58" si="8">AVERAGE(X58:AD58)</f>
        <v>#DIV/0!</v>
      </c>
      <c r="AI58" s="8" t="e">
        <f t="shared" ref="AI58" si="9">AVERAGE(C58:W58)</f>
        <v>#DIV/0!</v>
      </c>
    </row>
  </sheetData>
  <mergeCells count="8">
    <mergeCell ref="A1:AD1"/>
    <mergeCell ref="AE1:AI1"/>
    <mergeCell ref="A2:B2"/>
    <mergeCell ref="C2:I2"/>
    <mergeCell ref="Q2:W2"/>
    <mergeCell ref="X2:AD2"/>
    <mergeCell ref="AE2:AI2"/>
    <mergeCell ref="J2:P2"/>
  </mergeCells>
  <conditionalFormatting sqref="C4:AD58">
    <cfRule type="containsText" dxfId="16" priority="1" operator="containsText" text="o">
      <formula>NOT(ISERROR(SEARCH("o",C4)))</formula>
    </cfRule>
    <cfRule type="containsText" dxfId="15" priority="2" operator="containsText" text="y">
      <formula>NOT(ISERROR(SEARCH("y",C4)))</formula>
    </cfRule>
    <cfRule type="containsText" dxfId="14" priority="3" operator="containsText" text="i">
      <formula>NOT(ISERROR(SEARCH("i",C4)))</formula>
    </cfRule>
    <cfRule type="cellIs" dxfId="13" priority="165" operator="equal">
      <formula>"İ"</formula>
    </cfRule>
    <cfRule type="cellIs" dxfId="12" priority="166" operator="equal">
      <formula>"N"</formula>
    </cfRule>
  </conditionalFormatting>
  <conditionalFormatting sqref="C58:AD58">
    <cfRule type="cellIs" dxfId="11" priority="159" operator="equal">
      <formula>0</formula>
    </cfRule>
    <cfRule type="cellIs" dxfId="10" priority="160" operator="equal">
      <formula>"o"</formula>
    </cfRule>
    <cfRule type="cellIs" dxfId="9" priority="161" operator="equal">
      <formula>"H"</formula>
    </cfRule>
    <cfRule type="cellIs" dxfId="8" priority="162" operator="equal">
      <formula>"i"</formula>
    </cfRule>
    <cfRule type="cellIs" dxfId="7" priority="163" operator="equal">
      <formula>"Y"</formula>
    </cfRule>
    <cfRule type="cellIs" dxfId="6" priority="164" operator="equal">
      <formula>"N"</formula>
    </cfRule>
  </conditionalFormatting>
  <conditionalFormatting sqref="AE4:AI58">
    <cfRule type="cellIs" dxfId="5" priority="279" operator="between">
      <formula>0.85</formula>
      <formula>1</formula>
    </cfRule>
    <cfRule type="cellIs" dxfId="4" priority="280" operator="between">
      <formula>0.6</formula>
      <formula>0.85</formula>
    </cfRule>
    <cfRule type="cellIs" dxfId="3" priority="281" operator="between">
      <formula>0</formula>
      <formula>0.6</formula>
    </cfRule>
  </conditionalFormatting>
  <pageMargins left="0.11811023622047245" right="0.11811023622047245" top="0.74803149606299213" bottom="0.74803149606299213" header="0.31496062992125984" footer="0.31496062992125984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A60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A12" sqref="AA12"/>
    </sheetView>
  </sheetViews>
  <sheetFormatPr defaultRowHeight="15"/>
  <cols>
    <col min="1" max="1" width="4.7109375" customWidth="1"/>
    <col min="2" max="2" width="23.28515625" customWidth="1"/>
    <col min="3" max="6" width="6" customWidth="1"/>
    <col min="7" max="7" width="5.85546875" customWidth="1"/>
    <col min="8" max="8" width="5.5703125" hidden="1" customWidth="1"/>
    <col min="9" max="9" width="6.140625" hidden="1" customWidth="1"/>
    <col min="10" max="10" width="5.85546875" hidden="1" customWidth="1"/>
    <col min="11" max="11" width="6" hidden="1" customWidth="1"/>
    <col min="12" max="12" width="5.85546875" hidden="1" customWidth="1"/>
    <col min="13" max="20" width="6" customWidth="1"/>
    <col min="21" max="21" width="6.140625" customWidth="1"/>
    <col min="22" max="22" width="7.140625" customWidth="1"/>
    <col min="23" max="23" width="10.7109375" customWidth="1"/>
  </cols>
  <sheetData>
    <row r="1" spans="1:27" ht="45" customHeight="1" thickBot="1">
      <c r="A1" s="127" t="str">
        <f>('1.HAFTA'!A1:AD1)</f>
        <v xml:space="preserve">         TALEBE TAKİP SİSTEMİ 2024-2025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9"/>
      <c r="X1" s="130"/>
      <c r="Y1" s="131"/>
      <c r="Z1" s="131"/>
      <c r="AA1" s="132"/>
    </row>
    <row r="2" spans="1:27" ht="21" customHeight="1">
      <c r="A2" s="123" t="s">
        <v>25</v>
      </c>
      <c r="B2" s="124"/>
      <c r="C2" s="125" t="s">
        <v>22</v>
      </c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</row>
    <row r="3" spans="1:27" ht="19.5" customHeight="1">
      <c r="A3" s="11" t="s">
        <v>0</v>
      </c>
      <c r="B3" s="12" t="s">
        <v>1</v>
      </c>
      <c r="C3" s="29" t="s">
        <v>14</v>
      </c>
      <c r="D3" s="29" t="s">
        <v>15</v>
      </c>
      <c r="E3" s="29" t="s">
        <v>16</v>
      </c>
      <c r="F3" s="29" t="s">
        <v>17</v>
      </c>
      <c r="G3" s="29" t="s">
        <v>10</v>
      </c>
      <c r="H3" s="44" t="s">
        <v>43</v>
      </c>
      <c r="I3" s="44" t="s">
        <v>44</v>
      </c>
      <c r="J3" s="44" t="s">
        <v>45</v>
      </c>
      <c r="K3" s="44" t="s">
        <v>46</v>
      </c>
      <c r="L3" s="44" t="s">
        <v>10</v>
      </c>
      <c r="M3" s="13" t="s">
        <v>18</v>
      </c>
      <c r="N3" s="13" t="s">
        <v>19</v>
      </c>
      <c r="O3" s="13" t="s">
        <v>20</v>
      </c>
      <c r="P3" s="13" t="s">
        <v>21</v>
      </c>
      <c r="Q3" s="13" t="s">
        <v>10</v>
      </c>
      <c r="R3" s="24" t="s">
        <v>84</v>
      </c>
      <c r="S3" s="24" t="s">
        <v>85</v>
      </c>
      <c r="T3" s="24" t="s">
        <v>86</v>
      </c>
      <c r="U3" s="24" t="s">
        <v>87</v>
      </c>
      <c r="V3" s="31" t="s">
        <v>52</v>
      </c>
      <c r="W3" s="30" t="s">
        <v>9</v>
      </c>
    </row>
    <row r="4" spans="1:27" ht="16.5" thickBot="1">
      <c r="A4" s="19">
        <v>1</v>
      </c>
      <c r="B4" s="20" t="str">
        <f>'1.HAFTA'!B4</f>
        <v>Abdullah Koşar</v>
      </c>
      <c r="C4" s="15">
        <f>AVERAGE('1.HAFTA'!C4:G4)</f>
        <v>0</v>
      </c>
      <c r="D4" s="16">
        <f>AVERAGE('2.HAFTA'!C4:I4)</f>
        <v>0</v>
      </c>
      <c r="E4" s="16">
        <f>AVERAGE('2.HAFTA'!D4:J4)</f>
        <v>0</v>
      </c>
      <c r="F4" s="67">
        <f>AVERAGE('4.HAFTA'!C4:I4)</f>
        <v>0.5</v>
      </c>
      <c r="G4" s="17">
        <f>AVERAGE(C4:F4)</f>
        <v>0.125</v>
      </c>
      <c r="H4" s="15"/>
      <c r="I4" s="15"/>
      <c r="J4" s="15"/>
      <c r="K4" s="15"/>
      <c r="L4" s="15"/>
      <c r="M4" s="15">
        <f>AVERAGE('1.HAFTA'!Q4:W4)</f>
        <v>0</v>
      </c>
      <c r="N4" s="16">
        <f>AVERAGE('2.HAFTA'!Q4:W4)</f>
        <v>0</v>
      </c>
      <c r="O4" s="16">
        <f>AVERAGE('2.HAFTA'!R4:X4)</f>
        <v>0</v>
      </c>
      <c r="P4" s="16">
        <f>AVERAGE('4.HAFTA'!Q4:W4)</f>
        <v>0</v>
      </c>
      <c r="Q4" s="17">
        <f>AVERAGE(M4:P4)</f>
        <v>0</v>
      </c>
      <c r="R4" s="16">
        <f>AVERAGE('1.HAFTA'!X4:AD4)</f>
        <v>0</v>
      </c>
      <c r="S4" s="16">
        <f>AVERAGE('2.HAFTA'!X4:AD4)</f>
        <v>0</v>
      </c>
      <c r="T4" s="16">
        <f>AVERAGE('2.HAFTA'!Y4:AE4)</f>
        <v>0</v>
      </c>
      <c r="U4" s="16" t="e">
        <f>AVERAGE('4.HAFTA'!X4:AD4)</f>
        <v>#DIV/0!</v>
      </c>
      <c r="V4" s="18" t="e">
        <f>AVERAGE(R4:U4)</f>
        <v>#DIV/0!</v>
      </c>
      <c r="W4" s="18">
        <f>AVERAGE(G4,L4,Q4)</f>
        <v>6.25E-2</v>
      </c>
    </row>
    <row r="5" spans="1:27" ht="16.5" thickBot="1">
      <c r="A5" s="19">
        <v>2</v>
      </c>
      <c r="B5" s="20" t="str">
        <f>'1.HAFTA'!B5</f>
        <v>Ahmet Arif Ozmen</v>
      </c>
      <c r="C5" s="15"/>
      <c r="D5" s="16"/>
      <c r="E5" s="16"/>
      <c r="F5" s="67"/>
      <c r="G5" s="17"/>
      <c r="H5" s="15"/>
      <c r="I5" s="15"/>
      <c r="J5" s="15"/>
      <c r="K5" s="15"/>
      <c r="L5" s="15"/>
      <c r="M5" s="15">
        <f>AVERAGE('1.HAFTA'!Q5:W5)</f>
        <v>1</v>
      </c>
      <c r="N5" s="16">
        <f>AVERAGE('2.HAFTA'!Q5:W5)</f>
        <v>1</v>
      </c>
      <c r="O5" s="16">
        <f>AVERAGE('3.HAFTA'!Q5:W5)</f>
        <v>1</v>
      </c>
      <c r="P5" s="16"/>
      <c r="Q5" s="17">
        <f>AVERAGE(M5:P5)</f>
        <v>1</v>
      </c>
      <c r="R5" s="16"/>
      <c r="S5" s="16">
        <f>AVERAGE('2.HAFTA'!X5:AD5)</f>
        <v>1</v>
      </c>
      <c r="T5" s="16"/>
      <c r="U5" s="16"/>
      <c r="V5" s="18">
        <f>AVERAGE(R5:U5)</f>
        <v>1</v>
      </c>
      <c r="W5" s="18">
        <f t="shared" ref="W5:W6" si="0">AVERAGE(G5,L5,Q5)</f>
        <v>1</v>
      </c>
    </row>
    <row r="6" spans="1:27" ht="16.5" thickBot="1">
      <c r="A6" s="65">
        <v>3</v>
      </c>
      <c r="B6" s="20" t="str">
        <f>'1.HAFTA'!B6</f>
        <v>Alihan Uysal</v>
      </c>
      <c r="C6" s="15">
        <f>AVERAGE('1.HAFTA'!C6:G6)</f>
        <v>0.75</v>
      </c>
      <c r="D6" s="16">
        <f>AVERAGE('2.HAFTA'!C6:I6)</f>
        <v>0</v>
      </c>
      <c r="E6" s="16">
        <f>AVERAGE('2.HAFTA'!D6:J6)</f>
        <v>0</v>
      </c>
      <c r="F6" s="67">
        <f>AVERAGE('4.HAFTA'!C6:I6)</f>
        <v>1</v>
      </c>
      <c r="G6" s="17">
        <f t="shared" ref="G5:G45" si="1">AVERAGE(C6:F6)</f>
        <v>0.4375</v>
      </c>
      <c r="H6" s="15"/>
      <c r="I6" s="15"/>
      <c r="J6" s="15"/>
      <c r="K6" s="15"/>
      <c r="L6" s="15"/>
      <c r="M6" s="15">
        <f>AVERAGE('1.HAFTA'!Q6:W6)</f>
        <v>0.75</v>
      </c>
      <c r="N6" s="16">
        <f>AVERAGE('2.HAFTA'!Q6:W6)</f>
        <v>1</v>
      </c>
      <c r="O6" s="67">
        <f>AVERAGE('3.HAFTA'!Q6:W6)</f>
        <v>0.25</v>
      </c>
      <c r="P6" s="16">
        <f>AVERAGE('4.HAFTA'!Q6:W6)</f>
        <v>0</v>
      </c>
      <c r="Q6" s="68">
        <f t="shared" ref="Q6:Q45" si="2">AVERAGE(M6:P6)</f>
        <v>0.5</v>
      </c>
      <c r="R6" s="16">
        <f>AVERAGE('1.HAFTA'!X6:AD6)</f>
        <v>1</v>
      </c>
      <c r="S6" s="16">
        <f>AVERAGE('2.HAFTA'!X6:AD6)</f>
        <v>1</v>
      </c>
      <c r="T6" s="16">
        <f>AVERAGE('2.HAFTA'!Y6:AE6)</f>
        <v>0.5</v>
      </c>
      <c r="U6" s="16">
        <f>AVERAGE('4.HAFTA'!X6:AD6)</f>
        <v>1</v>
      </c>
      <c r="V6" s="69">
        <f t="shared" ref="V6:V9" si="3">AVERAGE(R6:U6)</f>
        <v>0.875</v>
      </c>
      <c r="W6" s="18">
        <f t="shared" si="0"/>
        <v>0.46875</v>
      </c>
    </row>
    <row r="7" spans="1:27" ht="16.5" thickBot="1">
      <c r="A7" s="19">
        <v>4</v>
      </c>
      <c r="B7" s="20" t="str">
        <f>'1.HAFTA'!B7</f>
        <v>Ammaar Ahmad</v>
      </c>
      <c r="C7" s="15">
        <f>AVERAGE('1.HAFTA'!C7:G7)</f>
        <v>1</v>
      </c>
      <c r="D7" s="16">
        <f>AVERAGE('2.HAFTA'!C7:I7)</f>
        <v>1</v>
      </c>
      <c r="E7" s="16">
        <f>AVERAGE('2.HAFTA'!D7:J7)</f>
        <v>1</v>
      </c>
      <c r="F7" s="67">
        <f>AVERAGE('4.HAFTA'!C7:I7)</f>
        <v>1</v>
      </c>
      <c r="G7" s="17">
        <f t="shared" si="1"/>
        <v>1</v>
      </c>
      <c r="H7" s="15"/>
      <c r="I7" s="15"/>
      <c r="J7" s="15"/>
      <c r="K7" s="15"/>
      <c r="L7" s="15"/>
      <c r="M7" s="15">
        <f>AVERAGE('1.HAFTA'!Q7:W7)</f>
        <v>1</v>
      </c>
      <c r="N7" s="16">
        <f>AVERAGE('2.HAFTA'!Q7:W7)</f>
        <v>1</v>
      </c>
      <c r="O7" s="67">
        <f>AVERAGE('3.HAFTA'!Q7:W7)</f>
        <v>1</v>
      </c>
      <c r="P7" s="16">
        <f>AVERAGE('4.HAFTA'!Q7:W7)</f>
        <v>1</v>
      </c>
      <c r="Q7" s="63">
        <f t="shared" si="2"/>
        <v>1</v>
      </c>
      <c r="R7" s="16">
        <f>AVERAGE('1.HAFTA'!X7:AD7)</f>
        <v>1</v>
      </c>
      <c r="S7" s="16">
        <f>AVERAGE('2.HAFTA'!X7:AD7)</f>
        <v>1</v>
      </c>
      <c r="T7" s="16">
        <f>AVERAGE('2.HAFTA'!Y7:AE7)</f>
        <v>1</v>
      </c>
      <c r="U7" s="16">
        <f>AVERAGE('4.HAFTA'!X7:AD7)</f>
        <v>1</v>
      </c>
      <c r="V7" s="64">
        <f t="shared" si="3"/>
        <v>1</v>
      </c>
      <c r="W7" s="64">
        <f t="shared" ref="W7:W45" si="4">AVERAGE(G7,L7,Q7)</f>
        <v>1</v>
      </c>
    </row>
    <row r="8" spans="1:27" ht="16.5" thickBot="1">
      <c r="A8" s="19">
        <v>5</v>
      </c>
      <c r="B8" s="20" t="str">
        <f>'1.HAFTA'!B8</f>
        <v>Ekrem Altıntaş</v>
      </c>
      <c r="C8" s="15">
        <f>AVERAGE('1.HAFTA'!C8:G8)</f>
        <v>0.25</v>
      </c>
      <c r="D8" s="16">
        <f>AVERAGE('2.HAFTA'!C8:I8)</f>
        <v>0.25</v>
      </c>
      <c r="E8" s="16">
        <f>AVERAGE('2.HAFTA'!D8:J8)</f>
        <v>0.25</v>
      </c>
      <c r="F8" s="67">
        <f>AVERAGE('4.HAFTA'!C8:I8)</f>
        <v>0.66666666666666663</v>
      </c>
      <c r="G8" s="17">
        <f t="shared" si="1"/>
        <v>0.35416666666666663</v>
      </c>
      <c r="H8" s="15"/>
      <c r="I8" s="15"/>
      <c r="J8" s="15"/>
      <c r="K8" s="15"/>
      <c r="L8" s="15"/>
      <c r="M8" s="15">
        <f>AVERAGE('1.HAFTA'!Q8:W8)</f>
        <v>1</v>
      </c>
      <c r="N8" s="16">
        <f>AVERAGE('2.HAFTA'!Q8:W8)</f>
        <v>0.66666666666666663</v>
      </c>
      <c r="O8" s="67">
        <f>AVERAGE('3.HAFTA'!Q8:W8)</f>
        <v>0.5</v>
      </c>
      <c r="P8" s="16">
        <f>AVERAGE('4.HAFTA'!Q8:W8)</f>
        <v>1</v>
      </c>
      <c r="Q8" s="17">
        <f t="shared" si="2"/>
        <v>0.79166666666666663</v>
      </c>
      <c r="R8" s="16">
        <f>AVERAGE('1.HAFTA'!X8:AD8)</f>
        <v>0.5</v>
      </c>
      <c r="S8" s="16">
        <f>AVERAGE('2.HAFTA'!X8:AD8)</f>
        <v>0</v>
      </c>
      <c r="T8" s="16">
        <f>AVERAGE('2.HAFTA'!Y8:AE8)</f>
        <v>0.125</v>
      </c>
      <c r="U8" s="16">
        <f>AVERAGE('4.HAFTA'!X8:AD8)</f>
        <v>1</v>
      </c>
      <c r="V8" s="18">
        <f t="shared" si="3"/>
        <v>0.40625</v>
      </c>
      <c r="W8" s="18">
        <f t="shared" si="4"/>
        <v>0.57291666666666663</v>
      </c>
    </row>
    <row r="9" spans="1:27" ht="16.5" thickBot="1">
      <c r="A9" s="65">
        <v>6</v>
      </c>
      <c r="B9" s="20" t="str">
        <f>'1.HAFTA'!B9</f>
        <v>Emirhan Sak</v>
      </c>
      <c r="C9" s="15">
        <f>AVERAGE('1.HAFTA'!C9:G9)</f>
        <v>0.66666666666666663</v>
      </c>
      <c r="D9" s="16">
        <f>AVERAGE('2.HAFTA'!C9:I9)</f>
        <v>0.75</v>
      </c>
      <c r="E9" s="16">
        <f>AVERAGE('2.HAFTA'!D9:J9)</f>
        <v>0.75</v>
      </c>
      <c r="F9" s="67">
        <f>AVERAGE('4.HAFTA'!C9:I9)</f>
        <v>0.66666666666666663</v>
      </c>
      <c r="G9" s="17">
        <f t="shared" si="1"/>
        <v>0.70833333333333326</v>
      </c>
      <c r="H9" s="15"/>
      <c r="I9" s="15"/>
      <c r="J9" s="15"/>
      <c r="K9" s="15"/>
      <c r="L9" s="15"/>
      <c r="M9" s="15">
        <f>AVERAGE('1.HAFTA'!Q9:W9)</f>
        <v>0.75</v>
      </c>
      <c r="N9" s="16">
        <f>AVERAGE('2.HAFTA'!Q9:W9)</f>
        <v>1</v>
      </c>
      <c r="O9" s="67">
        <f>AVERAGE('3.HAFTA'!Q9:W9)</f>
        <v>1</v>
      </c>
      <c r="P9" s="16">
        <f>AVERAGE('4.HAFTA'!Q9:W9)</f>
        <v>1</v>
      </c>
      <c r="Q9" s="17">
        <f t="shared" si="2"/>
        <v>0.9375</v>
      </c>
      <c r="R9" s="16">
        <f>AVERAGE('1.HAFTA'!X9:AD9)</f>
        <v>0</v>
      </c>
      <c r="S9" s="16">
        <f>AVERAGE('2.HAFTA'!X9:AD9)</f>
        <v>1</v>
      </c>
      <c r="T9" s="16">
        <f>AVERAGE('2.HAFTA'!Y9:AE9)</f>
        <v>0.875</v>
      </c>
      <c r="U9" s="16">
        <f>AVERAGE('4.HAFTA'!X9:AD9)</f>
        <v>1</v>
      </c>
      <c r="V9" s="18">
        <f t="shared" si="3"/>
        <v>0.71875</v>
      </c>
      <c r="W9" s="18">
        <f t="shared" si="4"/>
        <v>0.82291666666666663</v>
      </c>
    </row>
    <row r="10" spans="1:27" ht="16.5" thickBot="1">
      <c r="A10" s="19">
        <v>7</v>
      </c>
      <c r="B10" s="20" t="str">
        <f>'1.HAFTA'!B10</f>
        <v>Eymen Göğebakan</v>
      </c>
      <c r="C10" s="15">
        <f>AVERAGE('1.HAFTA'!C10:G10)</f>
        <v>0.33333333333333331</v>
      </c>
      <c r="D10" s="16">
        <f>AVERAGE('2.HAFTA'!C10:I10)</f>
        <v>0.75</v>
      </c>
      <c r="E10" s="16">
        <f>AVERAGE('2.HAFTA'!D10:J10)</f>
        <v>0.75</v>
      </c>
      <c r="F10" s="67">
        <f>AVERAGE('4.HAFTA'!C10:I10)</f>
        <v>0.33333333333333331</v>
      </c>
      <c r="G10" s="17">
        <f t="shared" si="1"/>
        <v>0.54166666666666663</v>
      </c>
      <c r="H10" s="15"/>
      <c r="I10" s="15"/>
      <c r="J10" s="15"/>
      <c r="K10" s="15"/>
      <c r="L10" s="15"/>
      <c r="M10" s="15">
        <f>AVERAGE('1.HAFTA'!Q10:W10)</f>
        <v>0.66666666666666663</v>
      </c>
      <c r="N10" s="16">
        <f>AVERAGE('2.HAFTA'!Q10:W10)</f>
        <v>0.5</v>
      </c>
      <c r="O10" s="67">
        <f>AVERAGE('3.HAFTA'!Q10:W10)</f>
        <v>0.75</v>
      </c>
      <c r="P10" s="16">
        <f>AVERAGE('4.HAFTA'!Q10:W10)</f>
        <v>1</v>
      </c>
      <c r="Q10" s="17">
        <f t="shared" si="2"/>
        <v>0.72916666666666663</v>
      </c>
      <c r="R10" s="16">
        <f>AVERAGE('1.HAFTA'!X10:AD10)</f>
        <v>1</v>
      </c>
      <c r="S10" s="16">
        <f>AVERAGE('2.HAFTA'!X10:AD10)</f>
        <v>0</v>
      </c>
      <c r="T10" s="16">
        <f>AVERAGE('2.HAFTA'!Y10:AE10)</f>
        <v>0.375</v>
      </c>
      <c r="U10" s="16"/>
      <c r="V10" s="18">
        <f t="shared" ref="V10:V45" si="5">AVERAGE(R10:U10)</f>
        <v>0.45833333333333331</v>
      </c>
      <c r="W10" s="18">
        <f t="shared" si="4"/>
        <v>0.63541666666666663</v>
      </c>
    </row>
    <row r="11" spans="1:27" ht="16.5" thickBot="1">
      <c r="A11" s="19">
        <v>8</v>
      </c>
      <c r="B11" s="20" t="str">
        <f>'1.HAFTA'!B11</f>
        <v>Mehmet Sak</v>
      </c>
      <c r="C11" s="15">
        <f>AVERAGE('1.HAFTA'!C11:G11)</f>
        <v>1</v>
      </c>
      <c r="D11" s="16">
        <f>AVERAGE('2.HAFTA'!C11:I11)</f>
        <v>1</v>
      </c>
      <c r="E11" s="16">
        <f>AVERAGE('2.HAFTA'!D11:J11)</f>
        <v>1</v>
      </c>
      <c r="F11" s="67">
        <f>AVERAGE('4.HAFTA'!C11:I11)</f>
        <v>1</v>
      </c>
      <c r="G11" s="17">
        <f t="shared" si="1"/>
        <v>1</v>
      </c>
      <c r="H11" s="15"/>
      <c r="I11" s="15"/>
      <c r="J11" s="15"/>
      <c r="K11" s="15"/>
      <c r="L11" s="15"/>
      <c r="M11" s="15">
        <f>AVERAGE('1.HAFTA'!Q11:W11)</f>
        <v>1</v>
      </c>
      <c r="N11" s="16">
        <f>AVERAGE('2.HAFTA'!Q11:W11)</f>
        <v>1</v>
      </c>
      <c r="O11" s="67">
        <f>AVERAGE('3.HAFTA'!Q11:W11)</f>
        <v>1</v>
      </c>
      <c r="P11" s="16">
        <f>AVERAGE('4.HAFTA'!Q11:W11)</f>
        <v>1</v>
      </c>
      <c r="Q11" s="17">
        <f t="shared" si="2"/>
        <v>1</v>
      </c>
      <c r="R11" s="16">
        <f>AVERAGE('1.HAFTA'!X11:AD11)</f>
        <v>1</v>
      </c>
      <c r="S11" s="16">
        <f>AVERAGE('2.HAFTA'!X11:AD11)</f>
        <v>1</v>
      </c>
      <c r="T11" s="16">
        <f>AVERAGE('2.HAFTA'!Y11:AE11)</f>
        <v>1</v>
      </c>
      <c r="U11" s="16">
        <f>AVERAGE('4.HAFTA'!X11:AD11)</f>
        <v>1</v>
      </c>
      <c r="V11" s="18">
        <f t="shared" si="5"/>
        <v>1</v>
      </c>
      <c r="W11" s="18">
        <f t="shared" si="4"/>
        <v>1</v>
      </c>
    </row>
    <row r="12" spans="1:27" ht="16.5" thickBot="1">
      <c r="A12" s="65">
        <v>9</v>
      </c>
      <c r="B12" s="20" t="str">
        <f>'1.HAFTA'!B12</f>
        <v>Mohammed Abdi Hakim</v>
      </c>
      <c r="C12" s="15">
        <f>AVERAGE('1.HAFTA'!C12:G12)</f>
        <v>1</v>
      </c>
      <c r="D12" s="16">
        <f>AVERAGE('2.HAFTA'!C12:I12)</f>
        <v>1</v>
      </c>
      <c r="E12" s="16">
        <f>AVERAGE('2.HAFTA'!D12:J12)</f>
        <v>1</v>
      </c>
      <c r="F12" s="67">
        <f>AVERAGE('4.HAFTA'!C12:I12)</f>
        <v>1</v>
      </c>
      <c r="G12" s="17">
        <f t="shared" si="1"/>
        <v>1</v>
      </c>
      <c r="H12" s="15"/>
      <c r="I12" s="15"/>
      <c r="J12" s="15"/>
      <c r="K12" s="15"/>
      <c r="L12" s="15"/>
      <c r="M12" s="15">
        <f>AVERAGE('1.HAFTA'!Q12:W12)</f>
        <v>1</v>
      </c>
      <c r="N12" s="16">
        <f>AVERAGE('2.HAFTA'!Q12:W12)</f>
        <v>1</v>
      </c>
      <c r="O12" s="67">
        <f>AVERAGE('3.HAFTA'!Q12:W12)</f>
        <v>0.25</v>
      </c>
      <c r="P12" s="16">
        <f>AVERAGE('4.HAFTA'!Q12:W12)</f>
        <v>0</v>
      </c>
      <c r="Q12" s="17">
        <f t="shared" si="2"/>
        <v>0.5625</v>
      </c>
      <c r="R12" s="16">
        <f>AVERAGE('1.HAFTA'!X12:AD12)</f>
        <v>1</v>
      </c>
      <c r="S12" s="16">
        <f>AVERAGE('2.HAFTA'!X12:AD12)</f>
        <v>1</v>
      </c>
      <c r="T12" s="16">
        <f>AVERAGE('2.HAFTA'!Y12:AE12)</f>
        <v>1</v>
      </c>
      <c r="U12" s="16">
        <f>AVERAGE('4.HAFTA'!X12:AD12)</f>
        <v>1</v>
      </c>
      <c r="V12" s="18">
        <f t="shared" si="5"/>
        <v>1</v>
      </c>
      <c r="W12" s="18">
        <f t="shared" si="4"/>
        <v>0.78125</v>
      </c>
    </row>
    <row r="13" spans="1:27" ht="16.5" thickBot="1">
      <c r="A13" s="19">
        <v>10</v>
      </c>
      <c r="B13" s="20" t="str">
        <f>'1.HAFTA'!B13</f>
        <v>Rıdvan Sönmez</v>
      </c>
      <c r="C13" s="15">
        <f>AVERAGE('1.HAFTA'!C13:G13)</f>
        <v>1</v>
      </c>
      <c r="D13" s="16">
        <f>AVERAGE('2.HAFTA'!C13:I13)</f>
        <v>1</v>
      </c>
      <c r="E13" s="16">
        <f>AVERAGE('2.HAFTA'!D13:J13)</f>
        <v>1</v>
      </c>
      <c r="F13" s="67">
        <f>AVERAGE('4.HAFTA'!C13:I13)</f>
        <v>0.66666666666666663</v>
      </c>
      <c r="G13" s="17">
        <f t="shared" si="1"/>
        <v>0.91666666666666663</v>
      </c>
      <c r="H13" s="15"/>
      <c r="I13" s="15"/>
      <c r="J13" s="15"/>
      <c r="K13" s="15"/>
      <c r="L13" s="15"/>
      <c r="M13" s="15">
        <f>AVERAGE('1.HAFTA'!Q13:W13)</f>
        <v>1</v>
      </c>
      <c r="N13" s="16">
        <f>AVERAGE('2.HAFTA'!Q13:W13)</f>
        <v>1</v>
      </c>
      <c r="O13" s="67">
        <f>AVERAGE('3.HAFTA'!Q13:W13)</f>
        <v>1</v>
      </c>
      <c r="P13" s="16">
        <f>AVERAGE('4.HAFTA'!Q13:W13)</f>
        <v>1</v>
      </c>
      <c r="Q13" s="17">
        <f t="shared" si="2"/>
        <v>1</v>
      </c>
      <c r="R13" s="16">
        <f>AVERAGE('1.HAFTA'!X13:AD13)</f>
        <v>1</v>
      </c>
      <c r="S13" s="16">
        <f>AVERAGE('2.HAFTA'!X13:AD13)</f>
        <v>1</v>
      </c>
      <c r="T13" s="16">
        <f>AVERAGE('2.HAFTA'!Y13:AE13)</f>
        <v>1</v>
      </c>
      <c r="U13" s="16">
        <f>AVERAGE('4.HAFTA'!X13:AD13)</f>
        <v>1</v>
      </c>
      <c r="V13" s="18">
        <f t="shared" si="5"/>
        <v>1</v>
      </c>
      <c r="W13" s="18">
        <f t="shared" si="4"/>
        <v>0.95833333333333326</v>
      </c>
    </row>
    <row r="14" spans="1:27" ht="16.5" thickBot="1">
      <c r="A14" s="19">
        <v>11</v>
      </c>
      <c r="B14" s="20" t="str">
        <f>'1.HAFTA'!B14</f>
        <v>Tayyip Sönmez</v>
      </c>
      <c r="C14" s="15">
        <f>AVERAGE('1.HAFTA'!C14:G14)</f>
        <v>0.5</v>
      </c>
      <c r="D14" s="16"/>
      <c r="E14" s="16"/>
      <c r="F14" s="67"/>
      <c r="G14" s="17">
        <f t="shared" si="1"/>
        <v>0.5</v>
      </c>
      <c r="H14" s="66" t="e">
        <f>AVERAGE('1.HAFTA'!H14:N14)</f>
        <v>#DIV/0!</v>
      </c>
      <c r="I14" s="66" t="e">
        <f>AVERAGE('1.HAFTA'!I14:O14)</f>
        <v>#DIV/0!</v>
      </c>
      <c r="J14" s="66" t="e">
        <f>AVERAGE('1.HAFTA'!J14:P14)</f>
        <v>#DIV/0!</v>
      </c>
      <c r="K14" s="66">
        <f>AVERAGE('1.HAFTA'!K14:Q14)</f>
        <v>1</v>
      </c>
      <c r="L14" s="66">
        <f>AVERAGE('1.HAFTA'!L14:R14)</f>
        <v>1</v>
      </c>
      <c r="M14" s="15">
        <f>AVERAGE('1.HAFTA'!Q14:W14)</f>
        <v>1</v>
      </c>
      <c r="N14" s="16">
        <f>AVERAGE('2.HAFTA'!Q14:W14)</f>
        <v>1</v>
      </c>
      <c r="O14" s="67"/>
      <c r="P14" s="16"/>
      <c r="Q14" s="66">
        <f>AVERAGE(M14:P14)</f>
        <v>1</v>
      </c>
      <c r="R14" s="16">
        <f>AVERAGE('1.HAFTA'!X14:AD14)</f>
        <v>1</v>
      </c>
      <c r="S14" s="16"/>
      <c r="T14" s="16"/>
      <c r="U14" s="16"/>
      <c r="V14" s="66">
        <f>AVERAGE(R14:U14)</f>
        <v>1</v>
      </c>
      <c r="W14" s="69">
        <f t="shared" si="4"/>
        <v>0.83333333333333337</v>
      </c>
    </row>
    <row r="15" spans="1:27" ht="16.5" thickBot="1">
      <c r="A15" s="65">
        <v>12</v>
      </c>
      <c r="B15" s="20" t="str">
        <f>'1.HAFTA'!B15</f>
        <v>Waffi Talib</v>
      </c>
      <c r="C15" s="15">
        <f>AVERAGE('1.HAFTA'!C15:G15)</f>
        <v>1</v>
      </c>
      <c r="D15" s="16">
        <f>AVERAGE('2.HAFTA'!C15:I15)</f>
        <v>1</v>
      </c>
      <c r="E15" s="16">
        <f>AVERAGE('2.HAFTA'!D15:J15)</f>
        <v>1</v>
      </c>
      <c r="F15" s="67">
        <f>AVERAGE('4.HAFTA'!C15:I15)</f>
        <v>1</v>
      </c>
      <c r="G15" s="17">
        <f t="shared" si="1"/>
        <v>1</v>
      </c>
      <c r="H15" s="15"/>
      <c r="I15" s="15"/>
      <c r="J15" s="15"/>
      <c r="K15" s="15"/>
      <c r="L15" s="15"/>
      <c r="M15" s="15">
        <f>AVERAGE('1.HAFTA'!Q15:W15)</f>
        <v>0.66666666666666663</v>
      </c>
      <c r="N15" s="16">
        <f>AVERAGE('2.HAFTA'!Q15:W15)</f>
        <v>0.5</v>
      </c>
      <c r="O15" s="67">
        <f>AVERAGE('3.HAFTA'!Q15:W15)</f>
        <v>0</v>
      </c>
      <c r="P15" s="16"/>
      <c r="Q15" s="63">
        <f t="shared" si="2"/>
        <v>0.38888888888888884</v>
      </c>
      <c r="R15" s="16">
        <f>AVERAGE('1.HAFTA'!X15:AD15)</f>
        <v>1</v>
      </c>
      <c r="S15" s="16">
        <f>AVERAGE('2.HAFTA'!X15:AD15)</f>
        <v>1</v>
      </c>
      <c r="T15" s="16">
        <f>AVERAGE('2.HAFTA'!Y15:AE15)</f>
        <v>1</v>
      </c>
      <c r="U15" s="16">
        <f>AVERAGE('4.HAFTA'!X15:AD15)</f>
        <v>1</v>
      </c>
      <c r="V15" s="64">
        <f t="shared" si="5"/>
        <v>1</v>
      </c>
      <c r="W15" s="64">
        <f>AVERAGE(G15,L15,Q15)</f>
        <v>0.69444444444444442</v>
      </c>
    </row>
    <row r="16" spans="1:27" ht="16.5" thickBot="1">
      <c r="A16" s="19">
        <v>13</v>
      </c>
      <c r="B16" s="92" t="str">
        <f>'1.HAFTA'!B16</f>
        <v>Ahmet Enes Küçüktepe</v>
      </c>
      <c r="C16" s="15">
        <f>AVERAGE('1.HAFTA'!C16:G16)</f>
        <v>0.66666666666666663</v>
      </c>
      <c r="D16" s="16">
        <f>AVERAGE('2.HAFTA'!C16:I16)</f>
        <v>0.25</v>
      </c>
      <c r="E16" s="16">
        <f>AVERAGE('2.HAFTA'!D16:J16)</f>
        <v>0.25</v>
      </c>
      <c r="F16" s="67">
        <f>AVERAGE('4.HAFTA'!C16:I16)</f>
        <v>0.33333333333333331</v>
      </c>
      <c r="G16" s="17">
        <f t="shared" si="1"/>
        <v>0.37499999999999994</v>
      </c>
      <c r="H16" s="66">
        <f>AVERAGE('1.HAFTA'!H16:N16)</f>
        <v>0</v>
      </c>
      <c r="I16" s="66" t="e">
        <f>AVERAGE('1.HAFTA'!I16:O16)</f>
        <v>#DIV/0!</v>
      </c>
      <c r="J16" s="66" t="e">
        <f>AVERAGE('1.HAFTA'!J16:P16)</f>
        <v>#DIV/0!</v>
      </c>
      <c r="K16" s="66">
        <f>AVERAGE('1.HAFTA'!K16:Q16)</f>
        <v>1</v>
      </c>
      <c r="L16" s="66">
        <f>AVERAGE('1.HAFTA'!L16:R16)</f>
        <v>1</v>
      </c>
      <c r="M16" s="15">
        <f>AVERAGE('1.HAFTA'!Q16:W16)</f>
        <v>1</v>
      </c>
      <c r="N16" s="16">
        <f>AVERAGE('2.HAFTA'!Q16:W16)</f>
        <v>1</v>
      </c>
      <c r="O16" s="67">
        <f>AVERAGE('3.HAFTA'!Q16:W16)</f>
        <v>0</v>
      </c>
      <c r="P16" s="16"/>
      <c r="Q16" s="63">
        <f>AVERAGE(M16:P16)</f>
        <v>0.66666666666666663</v>
      </c>
      <c r="R16" s="16">
        <f>AVERAGE('1.HAFTA'!X16:AD16)</f>
        <v>0.5</v>
      </c>
      <c r="S16" s="16"/>
      <c r="T16" s="16">
        <f>AVERAGE('2.HAFTA'!Y16:AE16)</f>
        <v>0.25</v>
      </c>
      <c r="U16" s="16"/>
      <c r="V16" s="64">
        <f t="shared" si="5"/>
        <v>0.375</v>
      </c>
      <c r="W16" s="64">
        <f>AVERAGE(G16,Q16)</f>
        <v>0.52083333333333326</v>
      </c>
    </row>
    <row r="17" spans="1:23" ht="16.5" thickBot="1">
      <c r="A17" s="19">
        <v>14</v>
      </c>
      <c r="B17" s="20" t="str">
        <f>'1.HAFTA'!B17</f>
        <v>Abdulkerim Karazehir</v>
      </c>
      <c r="C17" s="15">
        <f>AVERAGE('1.HAFTA'!C17:G17)</f>
        <v>0.33333333333333331</v>
      </c>
      <c r="D17" s="16">
        <f>AVERAGE('2.HAFTA'!C17:I17)</f>
        <v>0.5</v>
      </c>
      <c r="E17" s="16">
        <f>AVERAGE('2.HAFTA'!D17:J17)</f>
        <v>0.5</v>
      </c>
      <c r="F17" s="67">
        <f>AVERAGE('4.HAFTA'!C17:I17)</f>
        <v>0.66666666666666663</v>
      </c>
      <c r="G17" s="17">
        <f t="shared" si="1"/>
        <v>0.5</v>
      </c>
      <c r="H17" s="15"/>
      <c r="I17" s="15"/>
      <c r="J17" s="15"/>
      <c r="K17" s="15"/>
      <c r="L17" s="15"/>
      <c r="M17" s="15">
        <f>AVERAGE('1.HAFTA'!Q17:W17)</f>
        <v>0</v>
      </c>
      <c r="N17" s="16">
        <f>AVERAGE('2.HAFTA'!Q17:W17)</f>
        <v>0</v>
      </c>
      <c r="O17" s="67">
        <f>AVERAGE('3.HAFTA'!Q17:W17)</f>
        <v>0</v>
      </c>
      <c r="P17" s="16">
        <f>AVERAGE('4.HAFTA'!Q17:W17)</f>
        <v>0</v>
      </c>
      <c r="Q17" s="17">
        <f t="shared" si="2"/>
        <v>0</v>
      </c>
      <c r="R17" s="16">
        <f>AVERAGE('1.HAFTA'!X17:AD17)</f>
        <v>0.5</v>
      </c>
      <c r="S17" s="16">
        <f>AVERAGE('2.HAFTA'!X17:AD17)</f>
        <v>0</v>
      </c>
      <c r="T17" s="16">
        <f>AVERAGE('2.HAFTA'!Y17:AE17)</f>
        <v>0.25</v>
      </c>
      <c r="U17" s="16">
        <f>AVERAGE('4.HAFTA'!X17:AD17)</f>
        <v>1</v>
      </c>
      <c r="V17" s="18">
        <f t="shared" si="5"/>
        <v>0.4375</v>
      </c>
      <c r="W17" s="64">
        <f>AVERAGE(G17,Q17)</f>
        <v>0.25</v>
      </c>
    </row>
    <row r="18" spans="1:23" ht="16.5" thickBot="1">
      <c r="A18" s="65">
        <v>15</v>
      </c>
      <c r="B18" s="20" t="str">
        <f>'1.HAFTA'!B18</f>
        <v>Berat Basan</v>
      </c>
      <c r="C18" s="15">
        <f>AVERAGE('1.HAFTA'!C18:G18)</f>
        <v>0</v>
      </c>
      <c r="D18" s="16">
        <f>AVERAGE('2.HAFTA'!C18:I18)</f>
        <v>0.25</v>
      </c>
      <c r="E18" s="16">
        <f>AVERAGE('2.HAFTA'!D18:J18)</f>
        <v>0.25</v>
      </c>
      <c r="F18" s="67">
        <f>AVERAGE('4.HAFTA'!C18:I18)</f>
        <v>0</v>
      </c>
      <c r="G18" s="17">
        <f t="shared" si="1"/>
        <v>0.125</v>
      </c>
      <c r="H18" s="15"/>
      <c r="I18" s="15"/>
      <c r="J18" s="15"/>
      <c r="K18" s="15"/>
      <c r="L18" s="15"/>
      <c r="M18" s="15">
        <f>AVERAGE('1.HAFTA'!Q18:W18)</f>
        <v>0</v>
      </c>
      <c r="N18" s="16">
        <f>AVERAGE('2.HAFTA'!Q18:W18)</f>
        <v>0</v>
      </c>
      <c r="O18" s="67">
        <f>AVERAGE('3.HAFTA'!Q18:W18)</f>
        <v>0</v>
      </c>
      <c r="P18" s="16"/>
      <c r="Q18" s="17">
        <f t="shared" si="2"/>
        <v>0</v>
      </c>
      <c r="R18" s="16">
        <f>AVERAGE('1.HAFTA'!X18:AD18)</f>
        <v>0</v>
      </c>
      <c r="S18" s="16">
        <f>AVERAGE('2.HAFTA'!X18:AD18)</f>
        <v>0</v>
      </c>
      <c r="T18" s="16">
        <f>AVERAGE('2.HAFTA'!Y18:AE18)</f>
        <v>0.125</v>
      </c>
      <c r="U18" s="16">
        <f>AVERAGE('4.HAFTA'!X18:AD18)</f>
        <v>1</v>
      </c>
      <c r="V18" s="18">
        <f t="shared" si="5"/>
        <v>0.28125</v>
      </c>
      <c r="W18" s="64">
        <f t="shared" ref="W18:W22" si="6">AVERAGE(G18,Q18)</f>
        <v>6.25E-2</v>
      </c>
    </row>
    <row r="19" spans="1:23" ht="16.5" thickBot="1">
      <c r="A19" s="19">
        <v>16</v>
      </c>
      <c r="B19" s="20" t="str">
        <f>'1.HAFTA'!B19</f>
        <v>Burhan Çevik</v>
      </c>
      <c r="C19" s="15">
        <f>AVERAGE('1.HAFTA'!C19:G19)</f>
        <v>0.5</v>
      </c>
      <c r="D19" s="16">
        <f>AVERAGE('2.HAFTA'!C19:I19)</f>
        <v>0.25</v>
      </c>
      <c r="E19" s="16">
        <f>AVERAGE('2.HAFTA'!D19:J19)</f>
        <v>0.25</v>
      </c>
      <c r="F19" s="67">
        <f>AVERAGE('4.HAFTA'!C19:I19)</f>
        <v>0.5</v>
      </c>
      <c r="G19" s="17">
        <f t="shared" si="1"/>
        <v>0.375</v>
      </c>
      <c r="H19" s="15"/>
      <c r="I19" s="15"/>
      <c r="J19" s="15"/>
      <c r="K19" s="15"/>
      <c r="L19" s="15"/>
      <c r="M19" s="15">
        <f>AVERAGE('1.HAFTA'!Q19:W19)</f>
        <v>0.5</v>
      </c>
      <c r="N19" s="16">
        <f>AVERAGE('2.HAFTA'!Q19:W19)</f>
        <v>0</v>
      </c>
      <c r="O19" s="67">
        <f>AVERAGE('3.HAFTA'!Q19:W19)</f>
        <v>0.5</v>
      </c>
      <c r="P19" s="16">
        <f>AVERAGE('4.HAFTA'!Q19:W19)</f>
        <v>0</v>
      </c>
      <c r="Q19" s="17">
        <f t="shared" si="2"/>
        <v>0.25</v>
      </c>
      <c r="R19" s="16">
        <f>AVERAGE('1.HAFTA'!X19:AD19)</f>
        <v>0.5</v>
      </c>
      <c r="S19" s="16">
        <f>AVERAGE('2.HAFTA'!X19:AD19)</f>
        <v>0</v>
      </c>
      <c r="T19" s="16">
        <f>AVERAGE('2.HAFTA'!Y19:AE19)</f>
        <v>0.125</v>
      </c>
      <c r="U19" s="16">
        <f>AVERAGE('4.HAFTA'!X19:AD19)</f>
        <v>1</v>
      </c>
      <c r="V19" s="18">
        <f t="shared" si="5"/>
        <v>0.40625</v>
      </c>
      <c r="W19" s="64">
        <f t="shared" si="6"/>
        <v>0.3125</v>
      </c>
    </row>
    <row r="20" spans="1:23" ht="16.5" thickBot="1">
      <c r="A20" s="19">
        <v>17</v>
      </c>
      <c r="B20" s="20" t="str">
        <f>'1.HAFTA'!B20</f>
        <v>Enes Bakar</v>
      </c>
      <c r="C20" s="15">
        <f>AVERAGE('1.HAFTA'!C20:G20)</f>
        <v>0.25</v>
      </c>
      <c r="D20" s="16">
        <f>AVERAGE('2.HAFTA'!C20:I20)</f>
        <v>0</v>
      </c>
      <c r="E20" s="16">
        <f>AVERAGE('2.HAFTA'!D20:J20)</f>
        <v>0</v>
      </c>
      <c r="F20" s="67">
        <f>AVERAGE('4.HAFTA'!C20:I20)</f>
        <v>0</v>
      </c>
      <c r="G20" s="17">
        <f t="shared" si="1"/>
        <v>6.25E-2</v>
      </c>
      <c r="H20" s="15"/>
      <c r="I20" s="15"/>
      <c r="J20" s="15"/>
      <c r="K20" s="15"/>
      <c r="L20" s="15"/>
      <c r="M20" s="15">
        <f>AVERAGE('1.HAFTA'!Q20:W20)</f>
        <v>0</v>
      </c>
      <c r="N20" s="16">
        <f>AVERAGE('2.HAFTA'!Q20:W20)</f>
        <v>0</v>
      </c>
      <c r="O20" s="67">
        <f>AVERAGE('3.HAFTA'!Q20:W20)</f>
        <v>0</v>
      </c>
      <c r="P20" s="16">
        <f>AVERAGE('4.HAFTA'!Q20:W20)</f>
        <v>0</v>
      </c>
      <c r="Q20" s="17">
        <f t="shared" si="2"/>
        <v>0</v>
      </c>
      <c r="R20" s="16">
        <f>AVERAGE('1.HAFTA'!X20:AD20)</f>
        <v>0.5</v>
      </c>
      <c r="S20" s="16">
        <f>AVERAGE('2.HAFTA'!X20:AD20)</f>
        <v>0</v>
      </c>
      <c r="T20" s="16">
        <f>AVERAGE('2.HAFTA'!Y20:AE20)</f>
        <v>0</v>
      </c>
      <c r="U20" s="16">
        <f>AVERAGE('4.HAFTA'!X20:AD20)</f>
        <v>1</v>
      </c>
      <c r="V20" s="18">
        <f t="shared" si="5"/>
        <v>0.375</v>
      </c>
      <c r="W20" s="64">
        <f t="shared" si="6"/>
        <v>3.125E-2</v>
      </c>
    </row>
    <row r="21" spans="1:23" ht="16.5" thickBot="1">
      <c r="A21" s="65">
        <v>18</v>
      </c>
      <c r="B21" s="20" t="str">
        <f>'1.HAFTA'!B21</f>
        <v>Hüseyin Özdemir</v>
      </c>
      <c r="C21" s="15">
        <f>AVERAGE('1.HAFTA'!C21:G21)</f>
        <v>0.25</v>
      </c>
      <c r="D21" s="16">
        <f>AVERAGE('2.HAFTA'!C21:I21)</f>
        <v>0.5</v>
      </c>
      <c r="E21" s="16">
        <f>AVERAGE('2.HAFTA'!D21:J21)</f>
        <v>0.5</v>
      </c>
      <c r="F21" s="67">
        <f>AVERAGE('4.HAFTA'!C21:I21)</f>
        <v>0.66666666666666663</v>
      </c>
      <c r="G21" s="17">
        <f t="shared" si="1"/>
        <v>0.47916666666666663</v>
      </c>
      <c r="H21" s="15"/>
      <c r="I21" s="15"/>
      <c r="J21" s="15"/>
      <c r="K21" s="15"/>
      <c r="L21" s="15"/>
      <c r="M21" s="15">
        <f>AVERAGE('1.HAFTA'!Q21:W21)</f>
        <v>0.5</v>
      </c>
      <c r="N21" s="16">
        <f>AVERAGE('2.HAFTA'!Q21:W21)</f>
        <v>0.33333333333333331</v>
      </c>
      <c r="O21" s="67">
        <f>AVERAGE('3.HAFTA'!Q21:W21)</f>
        <v>0.5</v>
      </c>
      <c r="P21" s="16">
        <f>AVERAGE('4.HAFTA'!Q21:W21)</f>
        <v>0</v>
      </c>
      <c r="Q21" s="17">
        <f t="shared" si="2"/>
        <v>0.33333333333333331</v>
      </c>
      <c r="R21" s="16">
        <f>AVERAGE('1.HAFTA'!X21:AD21)</f>
        <v>0.5</v>
      </c>
      <c r="S21" s="16">
        <f>AVERAGE('2.HAFTA'!X21:AD21)</f>
        <v>0</v>
      </c>
      <c r="T21" s="16">
        <f>AVERAGE('2.HAFTA'!Y21:AE21)</f>
        <v>0.25</v>
      </c>
      <c r="U21" s="16">
        <f>AVERAGE('4.HAFTA'!X21:AD21)</f>
        <v>1</v>
      </c>
      <c r="V21" s="18">
        <f t="shared" si="5"/>
        <v>0.4375</v>
      </c>
      <c r="W21" s="64">
        <f t="shared" si="6"/>
        <v>0.40625</v>
      </c>
    </row>
    <row r="22" spans="1:23" ht="16.5" thickBot="1">
      <c r="A22" s="19">
        <v>19</v>
      </c>
      <c r="B22" s="20" t="str">
        <f>'1.HAFTA'!B22</f>
        <v>Yahya Yıldız</v>
      </c>
      <c r="C22" s="15">
        <f>AVERAGE('1.HAFTA'!C22:G22)</f>
        <v>0.33333333333333331</v>
      </c>
      <c r="D22" s="16">
        <f>AVERAGE('2.HAFTA'!C22:I22)</f>
        <v>0.5</v>
      </c>
      <c r="E22" s="16">
        <f>AVERAGE('2.HAFTA'!D22:J22)</f>
        <v>0.5</v>
      </c>
      <c r="F22" s="67">
        <f>AVERAGE('4.HAFTA'!C22:I22)</f>
        <v>1</v>
      </c>
      <c r="G22" s="17">
        <f t="shared" si="1"/>
        <v>0.58333333333333326</v>
      </c>
      <c r="H22" s="15"/>
      <c r="I22" s="15"/>
      <c r="J22" s="15"/>
      <c r="K22" s="15"/>
      <c r="L22" s="15"/>
      <c r="M22" s="15">
        <f>AVERAGE('1.HAFTA'!Q22:W22)</f>
        <v>0.5</v>
      </c>
      <c r="N22" s="16">
        <f>AVERAGE('2.HAFTA'!Q22:W22)</f>
        <v>0</v>
      </c>
      <c r="O22" s="67">
        <f>AVERAGE('3.HAFTA'!Q22:W22)</f>
        <v>0.33333333333333331</v>
      </c>
      <c r="P22" s="16">
        <f>AVERAGE('4.HAFTA'!Q22:W22)</f>
        <v>0</v>
      </c>
      <c r="Q22" s="17">
        <f t="shared" si="2"/>
        <v>0.20833333333333331</v>
      </c>
      <c r="R22" s="16">
        <f>AVERAGE('1.HAFTA'!X22:AD22)</f>
        <v>1</v>
      </c>
      <c r="S22" s="16"/>
      <c r="T22" s="16">
        <f>AVERAGE('2.HAFTA'!Y22:AE22)</f>
        <v>0.5</v>
      </c>
      <c r="U22" s="16">
        <f>AVERAGE('4.HAFTA'!X22:AD22)</f>
        <v>1</v>
      </c>
      <c r="V22" s="18">
        <f t="shared" si="5"/>
        <v>0.83333333333333337</v>
      </c>
      <c r="W22" s="64">
        <f t="shared" si="6"/>
        <v>0.39583333333333326</v>
      </c>
    </row>
    <row r="23" spans="1:23" ht="16.5" thickBot="1">
      <c r="A23" s="19">
        <v>20</v>
      </c>
      <c r="B23" s="20" t="str">
        <f>'1.HAFTA'!B23</f>
        <v>Yakup Karazehir</v>
      </c>
      <c r="C23" s="15">
        <f>AVERAGE('1.HAFTA'!C23:G23)</f>
        <v>1</v>
      </c>
      <c r="D23" s="16">
        <f>AVERAGE('2.HAFTA'!C23:I23)</f>
        <v>1</v>
      </c>
      <c r="E23" s="16">
        <f>AVERAGE('2.HAFTA'!D23:J23)</f>
        <v>1</v>
      </c>
      <c r="F23" s="67">
        <f>AVERAGE('4.HAFTA'!C23:I23)</f>
        <v>1</v>
      </c>
      <c r="G23" s="17">
        <f t="shared" si="1"/>
        <v>1</v>
      </c>
      <c r="H23" s="15"/>
      <c r="I23" s="15"/>
      <c r="J23" s="15"/>
      <c r="K23" s="15"/>
      <c r="L23" s="15"/>
      <c r="M23" s="15">
        <f>AVERAGE('1.HAFTA'!Q23:W23)</f>
        <v>1</v>
      </c>
      <c r="N23" s="16">
        <f>AVERAGE('2.HAFTA'!Q23:W23)</f>
        <v>1</v>
      </c>
      <c r="O23" s="67">
        <f>AVERAGE('3.HAFTA'!Q23:W23)</f>
        <v>1</v>
      </c>
      <c r="P23" s="16">
        <f>AVERAGE('4.HAFTA'!Q23:W23)</f>
        <v>1</v>
      </c>
      <c r="Q23" s="17">
        <f t="shared" si="2"/>
        <v>1</v>
      </c>
      <c r="R23" s="16">
        <f>AVERAGE('1.HAFTA'!X23:AD23)</f>
        <v>1</v>
      </c>
      <c r="S23" s="16">
        <f>AVERAGE('2.HAFTA'!X23:AD23)</f>
        <v>1</v>
      </c>
      <c r="T23" s="16">
        <f>AVERAGE('2.HAFTA'!Y23:AE23)</f>
        <v>1</v>
      </c>
      <c r="U23" s="16">
        <f>AVERAGE('4.HAFTA'!X23:AD23)</f>
        <v>1</v>
      </c>
      <c r="V23" s="18">
        <f t="shared" si="5"/>
        <v>1</v>
      </c>
      <c r="W23" s="18">
        <f t="shared" si="4"/>
        <v>1</v>
      </c>
    </row>
    <row r="24" spans="1:23" ht="16.5" thickBot="1">
      <c r="A24" s="65">
        <v>21</v>
      </c>
      <c r="B24" s="20" t="str">
        <f>'1.HAFTA'!B24</f>
        <v>Abdussamed Arslan</v>
      </c>
      <c r="C24" s="15">
        <f>AVERAGE('1.HAFTA'!C24:G24)</f>
        <v>0.33333333333333331</v>
      </c>
      <c r="D24" s="16">
        <f>AVERAGE('2.HAFTA'!C24:I24)</f>
        <v>0.5</v>
      </c>
      <c r="E24" s="16">
        <f>AVERAGE('2.HAFTA'!D24:J24)</f>
        <v>0.5</v>
      </c>
      <c r="F24" s="67">
        <f>AVERAGE('4.HAFTA'!C24:I24)</f>
        <v>0.66666666666666663</v>
      </c>
      <c r="G24" s="17">
        <f t="shared" si="1"/>
        <v>0.5</v>
      </c>
      <c r="H24" s="15"/>
      <c r="I24" s="15"/>
      <c r="J24" s="15"/>
      <c r="K24" s="15"/>
      <c r="L24" s="15"/>
      <c r="M24" s="15">
        <f>AVERAGE('1.HAFTA'!Q24:W24)</f>
        <v>0</v>
      </c>
      <c r="N24" s="16">
        <f>AVERAGE('2.HAFTA'!Q24:W24)</f>
        <v>0</v>
      </c>
      <c r="O24" s="67">
        <f>AVERAGE('3.HAFTA'!Q24:W24)</f>
        <v>0</v>
      </c>
      <c r="P24" s="16">
        <f>AVERAGE('4.HAFTA'!Q24:W24)</f>
        <v>0</v>
      </c>
      <c r="Q24" s="17">
        <f t="shared" si="2"/>
        <v>0</v>
      </c>
      <c r="R24" s="16">
        <f>AVERAGE('1.HAFTA'!X24:AD24)</f>
        <v>0</v>
      </c>
      <c r="S24" s="16">
        <f>AVERAGE('2.HAFTA'!X24:AD24)</f>
        <v>0</v>
      </c>
      <c r="T24" s="16">
        <f>AVERAGE('2.HAFTA'!Y24:AE24)</f>
        <v>0.25</v>
      </c>
      <c r="U24" s="16">
        <f>AVERAGE('4.HAFTA'!X24:AD24)</f>
        <v>0</v>
      </c>
      <c r="V24" s="18">
        <f t="shared" si="5"/>
        <v>6.25E-2</v>
      </c>
      <c r="W24" s="18">
        <f t="shared" si="4"/>
        <v>0.25</v>
      </c>
    </row>
    <row r="25" spans="1:23" ht="16.5" thickBot="1">
      <c r="A25" s="19">
        <v>22</v>
      </c>
      <c r="B25" s="20" t="str">
        <f>'1.HAFTA'!B25</f>
        <v>Abdussamed Erdem</v>
      </c>
      <c r="C25" s="15">
        <f>AVERAGE('1.HAFTA'!C25:G25)</f>
        <v>1</v>
      </c>
      <c r="D25" s="16">
        <f>AVERAGE('2.HAFTA'!C25:I25)</f>
        <v>1</v>
      </c>
      <c r="E25" s="16">
        <f>AVERAGE('2.HAFTA'!D25:J25)</f>
        <v>1</v>
      </c>
      <c r="F25" s="67">
        <f>AVERAGE('4.HAFTA'!C25:I25)</f>
        <v>0.66666666666666663</v>
      </c>
      <c r="G25" s="17">
        <f t="shared" si="1"/>
        <v>0.91666666666666663</v>
      </c>
      <c r="H25" s="15"/>
      <c r="I25" s="15"/>
      <c r="J25" s="15"/>
      <c r="K25" s="15"/>
      <c r="L25" s="15"/>
      <c r="M25" s="15"/>
      <c r="N25" s="16">
        <f>AVERAGE('2.HAFTA'!Q25:W25)</f>
        <v>1</v>
      </c>
      <c r="O25" s="67">
        <f>AVERAGE('3.HAFTA'!Q25:W25)</f>
        <v>1</v>
      </c>
      <c r="P25" s="16">
        <f>AVERAGE('4.HAFTA'!Q25:W25)</f>
        <v>0</v>
      </c>
      <c r="Q25" s="68">
        <f t="shared" si="2"/>
        <v>0.66666666666666663</v>
      </c>
      <c r="R25" s="16">
        <f>AVERAGE('1.HAFTA'!X25:AD25)</f>
        <v>1</v>
      </c>
      <c r="S25" s="16">
        <f>AVERAGE('2.HAFTA'!X25:AD25)</f>
        <v>1</v>
      </c>
      <c r="T25" s="16">
        <f>AVERAGE('2.HAFTA'!Y25:AE25)</f>
        <v>1</v>
      </c>
      <c r="U25" s="16"/>
      <c r="V25" s="69">
        <f t="shared" si="5"/>
        <v>1</v>
      </c>
      <c r="W25" s="69">
        <f t="shared" si="4"/>
        <v>0.79166666666666663</v>
      </c>
    </row>
    <row r="26" spans="1:23" ht="16.5" thickBot="1">
      <c r="A26" s="19">
        <v>23</v>
      </c>
      <c r="B26" s="20" t="str">
        <f>'1.HAFTA'!B26</f>
        <v>Ahmet Boyacıoğlu</v>
      </c>
      <c r="C26" s="15">
        <f>AVERAGE('1.HAFTA'!C26:G26)</f>
        <v>1</v>
      </c>
      <c r="D26" s="16">
        <f>AVERAGE('2.HAFTA'!C26:I26)</f>
        <v>1</v>
      </c>
      <c r="E26" s="16">
        <f>AVERAGE('2.HAFTA'!D26:J26)</f>
        <v>1</v>
      </c>
      <c r="F26" s="67">
        <f>AVERAGE('4.HAFTA'!C26:I26)</f>
        <v>0</v>
      </c>
      <c r="G26" s="17">
        <f t="shared" si="1"/>
        <v>0.75</v>
      </c>
      <c r="H26" s="15"/>
      <c r="I26" s="15"/>
      <c r="J26" s="15"/>
      <c r="K26" s="15"/>
      <c r="L26" s="15"/>
      <c r="M26" s="15">
        <f>AVERAGE('1.HAFTA'!Q26:W26)</f>
        <v>0.66666666666666663</v>
      </c>
      <c r="N26" s="16">
        <f>AVERAGE('2.HAFTA'!Q26:W26)</f>
        <v>0</v>
      </c>
      <c r="O26" s="67">
        <f>AVERAGE('3.HAFTA'!Q26:W26)</f>
        <v>0</v>
      </c>
      <c r="P26" s="16"/>
      <c r="Q26" s="68">
        <f>AVERAGE(M26:P26)</f>
        <v>0.22222222222222221</v>
      </c>
      <c r="R26" s="16">
        <f>AVERAGE('1.HAFTA'!X26:AD26)</f>
        <v>0</v>
      </c>
      <c r="S26" s="16">
        <f>AVERAGE('2.HAFTA'!X26:AD26)</f>
        <v>0</v>
      </c>
      <c r="T26" s="16">
        <f>AVERAGE('2.HAFTA'!Y26:AE26)</f>
        <v>0.5</v>
      </c>
      <c r="U26" s="16">
        <f>AVERAGE('4.HAFTA'!X26:AD26)</f>
        <v>1</v>
      </c>
      <c r="V26" s="64">
        <f t="shared" si="5"/>
        <v>0.375</v>
      </c>
      <c r="W26" s="64">
        <f t="shared" si="4"/>
        <v>0.4861111111111111</v>
      </c>
    </row>
    <row r="27" spans="1:23" ht="16.5" thickBot="1">
      <c r="A27" s="65">
        <v>24</v>
      </c>
      <c r="B27" s="20" t="str">
        <f>'1.HAFTA'!B27</f>
        <v>Ahmet Kökçü</v>
      </c>
      <c r="C27" s="15">
        <f>AVERAGE('1.HAFTA'!C27:G27)</f>
        <v>1</v>
      </c>
      <c r="D27" s="16">
        <f>AVERAGE('2.HAFTA'!C27:I27)</f>
        <v>1</v>
      </c>
      <c r="E27" s="16">
        <f>AVERAGE('2.HAFTA'!D27:J27)</f>
        <v>1</v>
      </c>
      <c r="F27" s="67">
        <f>AVERAGE('4.HAFTA'!C27:I27)</f>
        <v>1</v>
      </c>
      <c r="G27" s="17">
        <f t="shared" si="1"/>
        <v>1</v>
      </c>
      <c r="H27" s="15"/>
      <c r="I27" s="15"/>
      <c r="J27" s="15"/>
      <c r="K27" s="15"/>
      <c r="L27" s="15"/>
      <c r="M27" s="15">
        <f>AVERAGE('1.HAFTA'!Q27:W27)</f>
        <v>1</v>
      </c>
      <c r="N27" s="16">
        <f>AVERAGE('2.HAFTA'!Q27:W27)</f>
        <v>1</v>
      </c>
      <c r="O27" s="67">
        <f>AVERAGE('3.HAFTA'!Q27:W27)</f>
        <v>1</v>
      </c>
      <c r="P27" s="16"/>
      <c r="Q27" s="17">
        <f t="shared" si="2"/>
        <v>1</v>
      </c>
      <c r="R27" s="16">
        <f>AVERAGE('1.HAFTA'!X27:AD27)</f>
        <v>1</v>
      </c>
      <c r="S27" s="16">
        <f>AVERAGE('2.HAFTA'!X27:AD27)</f>
        <v>1</v>
      </c>
      <c r="T27" s="16">
        <f>AVERAGE('2.HAFTA'!Y27:AE27)</f>
        <v>1</v>
      </c>
      <c r="U27" s="16">
        <f>AVERAGE('4.HAFTA'!X27:AD27)</f>
        <v>1</v>
      </c>
      <c r="V27" s="18">
        <f t="shared" si="5"/>
        <v>1</v>
      </c>
      <c r="W27" s="18">
        <f t="shared" si="4"/>
        <v>1</v>
      </c>
    </row>
    <row r="28" spans="1:23" ht="16.5" thickBot="1">
      <c r="A28" s="19">
        <v>25</v>
      </c>
      <c r="B28" s="20" t="str">
        <f>'1.HAFTA'!B28</f>
        <v>Fatih Burcu</v>
      </c>
      <c r="C28" s="15">
        <f>AVERAGE('1.HAFTA'!C28:G28)</f>
        <v>1</v>
      </c>
      <c r="D28" s="16">
        <f>AVERAGE('2.HAFTA'!C28:I28)</f>
        <v>1</v>
      </c>
      <c r="E28" s="16">
        <f>AVERAGE('2.HAFTA'!D28:J28)</f>
        <v>1</v>
      </c>
      <c r="F28" s="67">
        <f>AVERAGE('4.HAFTA'!C28:I28)</f>
        <v>1</v>
      </c>
      <c r="G28" s="17">
        <f t="shared" si="1"/>
        <v>1</v>
      </c>
      <c r="H28" s="15"/>
      <c r="I28" s="15"/>
      <c r="J28" s="15"/>
      <c r="K28" s="15"/>
      <c r="L28" s="15"/>
      <c r="M28" s="15">
        <f>AVERAGE('1.HAFTA'!Q28:W28)</f>
        <v>1</v>
      </c>
      <c r="N28" s="16">
        <f>AVERAGE('2.HAFTA'!Q28:W28)</f>
        <v>1</v>
      </c>
      <c r="O28" s="67">
        <f>AVERAGE('3.HAFTA'!Q28:W28)</f>
        <v>1</v>
      </c>
      <c r="P28" s="16"/>
      <c r="Q28" s="17">
        <f t="shared" si="2"/>
        <v>1</v>
      </c>
      <c r="R28" s="16">
        <f>AVERAGE('1.HAFTA'!X28:AD28)</f>
        <v>1</v>
      </c>
      <c r="S28" s="16">
        <f>AVERAGE('2.HAFTA'!X28:AD28)</f>
        <v>1</v>
      </c>
      <c r="T28" s="16">
        <f>AVERAGE('2.HAFTA'!Y28:AE28)</f>
        <v>1</v>
      </c>
      <c r="U28" s="16"/>
      <c r="V28" s="18">
        <f t="shared" si="5"/>
        <v>1</v>
      </c>
      <c r="W28" s="18">
        <f t="shared" si="4"/>
        <v>1</v>
      </c>
    </row>
    <row r="29" spans="1:23" ht="16.5" thickBot="1">
      <c r="A29" s="19">
        <v>26</v>
      </c>
      <c r="B29" s="20" t="str">
        <f>'1.HAFTA'!B29</f>
        <v>Fehmi Kütük</v>
      </c>
      <c r="C29" s="15">
        <f>AVERAGE('1.HAFTA'!C29:G29)</f>
        <v>1</v>
      </c>
      <c r="D29" s="16">
        <f>AVERAGE('2.HAFTA'!C29:I29)</f>
        <v>1</v>
      </c>
      <c r="E29" s="16">
        <f>AVERAGE('2.HAFTA'!D29:J29)</f>
        <v>1</v>
      </c>
      <c r="F29" s="67">
        <f>AVERAGE('4.HAFTA'!C29:I29)</f>
        <v>0.33333333333333331</v>
      </c>
      <c r="G29" s="17">
        <f t="shared" si="1"/>
        <v>0.83333333333333337</v>
      </c>
      <c r="H29" s="15"/>
      <c r="I29" s="15"/>
      <c r="J29" s="15"/>
      <c r="K29" s="15"/>
      <c r="L29" s="15"/>
      <c r="M29" s="15">
        <f>AVERAGE('1.HAFTA'!Q29:W29)</f>
        <v>1</v>
      </c>
      <c r="N29" s="16">
        <f>AVERAGE('2.HAFTA'!Q29:W29)</f>
        <v>0</v>
      </c>
      <c r="O29" s="67">
        <f>AVERAGE('3.HAFTA'!Q29:W29)</f>
        <v>0</v>
      </c>
      <c r="P29" s="16"/>
      <c r="Q29" s="17">
        <f t="shared" si="2"/>
        <v>0.33333333333333331</v>
      </c>
      <c r="R29" s="16">
        <f>AVERAGE('1.HAFTA'!X29:AD29)</f>
        <v>0</v>
      </c>
      <c r="S29" s="16"/>
      <c r="T29" s="16">
        <f>AVERAGE('2.HAFTA'!Y29:AE29)</f>
        <v>1</v>
      </c>
      <c r="U29" s="16">
        <f>AVERAGE('4.HAFTA'!X29:AD29)</f>
        <v>1</v>
      </c>
      <c r="V29" s="18">
        <f t="shared" si="5"/>
        <v>0.66666666666666663</v>
      </c>
      <c r="W29" s="18">
        <f t="shared" si="4"/>
        <v>0.58333333333333337</v>
      </c>
    </row>
    <row r="30" spans="1:23" ht="16.5" thickBot="1">
      <c r="A30" s="65">
        <v>27</v>
      </c>
      <c r="B30" s="20" t="str">
        <f>'1.HAFTA'!B30</f>
        <v>Mehmet Cakmak</v>
      </c>
      <c r="C30" s="15">
        <f>AVERAGE('1.HAFTA'!C30:G30)</f>
        <v>1</v>
      </c>
      <c r="D30" s="16">
        <f>AVERAGE('2.HAFTA'!C30:I30)</f>
        <v>1</v>
      </c>
      <c r="E30" s="16">
        <f>AVERAGE('2.HAFTA'!D30:J30)</f>
        <v>1</v>
      </c>
      <c r="F30" s="67">
        <f>AVERAGE('4.HAFTA'!C30:I30)</f>
        <v>1</v>
      </c>
      <c r="G30" s="17">
        <f t="shared" si="1"/>
        <v>1</v>
      </c>
      <c r="H30" s="15"/>
      <c r="I30" s="15"/>
      <c r="J30" s="15"/>
      <c r="K30" s="15"/>
      <c r="L30" s="15"/>
      <c r="M30" s="15">
        <f>AVERAGE('1.HAFTA'!Q30:W30)</f>
        <v>0.66666666666666663</v>
      </c>
      <c r="N30" s="16">
        <f>AVERAGE('2.HAFTA'!Q30:W30)</f>
        <v>1</v>
      </c>
      <c r="O30" s="67">
        <f>AVERAGE('3.HAFTA'!Q30:W30)</f>
        <v>0.75</v>
      </c>
      <c r="P30" s="16">
        <f>AVERAGE('4.HAFTA'!Q30:W30)</f>
        <v>0</v>
      </c>
      <c r="Q30" s="17">
        <f t="shared" si="2"/>
        <v>0.60416666666666663</v>
      </c>
      <c r="R30" s="16">
        <f>AVERAGE('1.HAFTA'!X30:AD30)</f>
        <v>1</v>
      </c>
      <c r="S30" s="16">
        <f>AVERAGE('2.HAFTA'!X30:AD30)</f>
        <v>1</v>
      </c>
      <c r="T30" s="16">
        <f>AVERAGE('2.HAFTA'!Y30:AE30)</f>
        <v>1</v>
      </c>
      <c r="U30" s="16"/>
      <c r="V30" s="18">
        <f t="shared" si="5"/>
        <v>1</v>
      </c>
      <c r="W30" s="18">
        <f t="shared" si="4"/>
        <v>0.80208333333333326</v>
      </c>
    </row>
    <row r="31" spans="1:23" ht="16.5" thickBot="1">
      <c r="A31" s="19">
        <v>28</v>
      </c>
      <c r="B31" s="20" t="str">
        <f>'1.HAFTA'!B31</f>
        <v>Rasit Aldirmaz</v>
      </c>
      <c r="C31" s="15">
        <f>AVERAGE('1.HAFTA'!C31:G31)</f>
        <v>1</v>
      </c>
      <c r="D31" s="16">
        <f>AVERAGE('2.HAFTA'!C31:I31)</f>
        <v>1</v>
      </c>
      <c r="E31" s="16">
        <f>AVERAGE('2.HAFTA'!D31:J31)</f>
        <v>1</v>
      </c>
      <c r="F31" s="67">
        <f>AVERAGE('4.HAFTA'!C31:I31)</f>
        <v>0.66666666666666663</v>
      </c>
      <c r="G31" s="17">
        <f t="shared" si="1"/>
        <v>0.91666666666666663</v>
      </c>
      <c r="H31" s="15"/>
      <c r="I31" s="15"/>
      <c r="J31" s="15"/>
      <c r="K31" s="15"/>
      <c r="L31" s="15"/>
      <c r="M31" s="15">
        <f>AVERAGE('1.HAFTA'!Q31:W31)</f>
        <v>0</v>
      </c>
      <c r="N31" s="16">
        <f>AVERAGE('2.HAFTA'!Q31:W31)</f>
        <v>0.5</v>
      </c>
      <c r="O31" s="67">
        <f>AVERAGE('3.HAFTA'!Q31:W31)</f>
        <v>0.5</v>
      </c>
      <c r="P31" s="16">
        <f>AVERAGE('4.HAFTA'!Q31:W31)</f>
        <v>0</v>
      </c>
      <c r="Q31" s="17">
        <f t="shared" si="2"/>
        <v>0.25</v>
      </c>
      <c r="R31" s="16">
        <f>AVERAGE('1.HAFTA'!X31:AD31)</f>
        <v>0</v>
      </c>
      <c r="S31" s="16">
        <f>AVERAGE('2.HAFTA'!X31:AD31)</f>
        <v>1</v>
      </c>
      <c r="T31" s="16">
        <f>AVERAGE('2.HAFTA'!Y31:AE31)</f>
        <v>1</v>
      </c>
      <c r="U31" s="16">
        <f>AVERAGE('4.HAFTA'!X31:AD31)</f>
        <v>0</v>
      </c>
      <c r="V31" s="18">
        <f t="shared" si="5"/>
        <v>0.5</v>
      </c>
      <c r="W31" s="18">
        <f t="shared" si="4"/>
        <v>0.58333333333333326</v>
      </c>
    </row>
    <row r="32" spans="1:23" ht="16.5" thickBot="1">
      <c r="A32" s="19">
        <v>29</v>
      </c>
      <c r="B32" s="20" t="str">
        <f>'1.HAFTA'!B32</f>
        <v>Tunahan Altun</v>
      </c>
      <c r="C32" s="15">
        <f>AVERAGE('1.HAFTA'!C32:G32)</f>
        <v>0.75</v>
      </c>
      <c r="D32" s="16">
        <f>AVERAGE('2.HAFTA'!C32:I32)</f>
        <v>1</v>
      </c>
      <c r="E32" s="16">
        <f>AVERAGE('2.HAFTA'!D32:J32)</f>
        <v>1</v>
      </c>
      <c r="F32" s="67">
        <f>AVERAGE('4.HAFTA'!C32:I32)</f>
        <v>1</v>
      </c>
      <c r="G32" s="17">
        <f t="shared" si="1"/>
        <v>0.9375</v>
      </c>
      <c r="H32" s="15"/>
      <c r="I32" s="15"/>
      <c r="J32" s="15"/>
      <c r="K32" s="15"/>
      <c r="L32" s="15"/>
      <c r="M32" s="15">
        <f>AVERAGE('1.HAFTA'!Q32:W32)</f>
        <v>0.75</v>
      </c>
      <c r="N32" s="16">
        <f>AVERAGE('2.HAFTA'!Q32:W32)</f>
        <v>0.5</v>
      </c>
      <c r="O32" s="67">
        <f>AVERAGE('3.HAFTA'!Q32:W32)</f>
        <v>0.75</v>
      </c>
      <c r="P32" s="16"/>
      <c r="Q32" s="17">
        <f t="shared" si="2"/>
        <v>0.66666666666666663</v>
      </c>
      <c r="R32" s="16">
        <f>AVERAGE('1.HAFTA'!X32:AD32)</f>
        <v>1</v>
      </c>
      <c r="S32" s="16">
        <f>AVERAGE('2.HAFTA'!X32:AD32)</f>
        <v>1</v>
      </c>
      <c r="T32" s="16">
        <f>AVERAGE('2.HAFTA'!Y32:AE32)</f>
        <v>1</v>
      </c>
      <c r="U32" s="16"/>
      <c r="V32" s="18">
        <f t="shared" si="5"/>
        <v>1</v>
      </c>
      <c r="W32" s="18">
        <f t="shared" si="4"/>
        <v>0.80208333333333326</v>
      </c>
    </row>
    <row r="33" spans="1:23" ht="16.5" thickBot="1">
      <c r="A33" s="65">
        <v>30</v>
      </c>
      <c r="B33" s="20" t="str">
        <f>'1.HAFTA'!B33</f>
        <v>Yusuf Emin Doğan</v>
      </c>
      <c r="C33" s="15">
        <f>AVERAGE('1.HAFTA'!C33:G33)</f>
        <v>0.5</v>
      </c>
      <c r="D33" s="16">
        <f>AVERAGE('2.HAFTA'!C33:I33)</f>
        <v>1</v>
      </c>
      <c r="E33" s="16">
        <f>AVERAGE('2.HAFTA'!D33:J33)</f>
        <v>1</v>
      </c>
      <c r="F33" s="67">
        <f>AVERAGE('4.HAFTA'!C33:I33)</f>
        <v>0.33333333333333331</v>
      </c>
      <c r="G33" s="17">
        <f t="shared" si="1"/>
        <v>0.70833333333333337</v>
      </c>
      <c r="H33" s="15"/>
      <c r="I33" s="15"/>
      <c r="J33" s="15"/>
      <c r="K33" s="15"/>
      <c r="L33" s="15"/>
      <c r="M33" s="15">
        <f>AVERAGE('1.HAFTA'!Q33:W33)</f>
        <v>0</v>
      </c>
      <c r="N33" s="16">
        <f>AVERAGE('2.HAFTA'!Q33:W33)</f>
        <v>0</v>
      </c>
      <c r="O33" s="67">
        <f>AVERAGE('3.HAFTA'!Q33:W33)</f>
        <v>0</v>
      </c>
      <c r="P33" s="16">
        <f>AVERAGE('4.HAFTA'!Q33:W33)</f>
        <v>0</v>
      </c>
      <c r="Q33" s="17">
        <f t="shared" si="2"/>
        <v>0</v>
      </c>
      <c r="R33" s="16">
        <f>AVERAGE('1.HAFTA'!X33:AD33)</f>
        <v>1</v>
      </c>
      <c r="S33" s="16"/>
      <c r="T33" s="16">
        <f>AVERAGE('2.HAFTA'!Y33:AE33)</f>
        <v>1</v>
      </c>
      <c r="U33" s="16">
        <f>AVERAGE('4.HAFTA'!X33:AD33)</f>
        <v>1</v>
      </c>
      <c r="V33" s="18">
        <f t="shared" si="5"/>
        <v>1</v>
      </c>
      <c r="W33" s="18">
        <f t="shared" si="4"/>
        <v>0.35416666666666669</v>
      </c>
    </row>
    <row r="34" spans="1:23" ht="16.5" thickBot="1">
      <c r="A34" s="19">
        <v>31</v>
      </c>
      <c r="B34" s="20" t="str">
        <f>'1.HAFTA'!B34</f>
        <v>Ahmet Doğan</v>
      </c>
      <c r="C34" s="15">
        <f>AVERAGE('1.HAFTA'!C34:G34)</f>
        <v>1</v>
      </c>
      <c r="D34" s="16">
        <f>AVERAGE('2.HAFTA'!C34:I34)</f>
        <v>1</v>
      </c>
      <c r="E34" s="16">
        <f>AVERAGE('2.HAFTA'!D34:J34)</f>
        <v>1</v>
      </c>
      <c r="F34" s="67">
        <f>AVERAGE('4.HAFTA'!C34:I34)</f>
        <v>1</v>
      </c>
      <c r="G34" s="17">
        <f t="shared" si="1"/>
        <v>1</v>
      </c>
      <c r="H34" s="15"/>
      <c r="I34" s="15"/>
      <c r="J34" s="15"/>
      <c r="K34" s="15"/>
      <c r="L34" s="15"/>
      <c r="M34" s="15">
        <f>AVERAGE('1.HAFTA'!Q34:W34)</f>
        <v>1</v>
      </c>
      <c r="N34" s="16">
        <f>AVERAGE('2.HAFTA'!Q34:W34)</f>
        <v>0.66666666666666663</v>
      </c>
      <c r="O34" s="67">
        <f>AVERAGE('3.HAFTA'!Q34:W34)</f>
        <v>1</v>
      </c>
      <c r="P34" s="16"/>
      <c r="Q34" s="17">
        <f t="shared" si="2"/>
        <v>0.88888888888888884</v>
      </c>
      <c r="R34" s="16">
        <f>AVERAGE('1.HAFTA'!X34:AD34)</f>
        <v>0.5</v>
      </c>
      <c r="S34" s="16">
        <f>AVERAGE('2.HAFTA'!X34:AD34)</f>
        <v>0</v>
      </c>
      <c r="T34" s="16">
        <f>AVERAGE('2.HAFTA'!Y34:AE34)</f>
        <v>0.5</v>
      </c>
      <c r="U34" s="16">
        <f>AVERAGE('4.HAFTA'!X34:AD34)</f>
        <v>0</v>
      </c>
      <c r="V34" s="18">
        <f t="shared" si="5"/>
        <v>0.25</v>
      </c>
      <c r="W34" s="18">
        <f t="shared" si="4"/>
        <v>0.94444444444444442</v>
      </c>
    </row>
    <row r="35" spans="1:23" ht="16.5" thickBot="1">
      <c r="A35" s="19">
        <v>32</v>
      </c>
      <c r="B35" s="20" t="str">
        <f>'1.HAFTA'!B35</f>
        <v>Cihan Boorsma</v>
      </c>
      <c r="C35" s="15">
        <f>AVERAGE('1.HAFTA'!C35:G35)</f>
        <v>0.75</v>
      </c>
      <c r="D35" s="16">
        <f>AVERAGE('2.HAFTA'!C35:I35)</f>
        <v>0.75</v>
      </c>
      <c r="E35" s="16">
        <f>AVERAGE('2.HAFTA'!D35:J35)</f>
        <v>0.75</v>
      </c>
      <c r="F35" s="67">
        <f>AVERAGE('4.HAFTA'!C35:I35)</f>
        <v>0.66666666666666663</v>
      </c>
      <c r="G35" s="17">
        <f t="shared" si="1"/>
        <v>0.72916666666666663</v>
      </c>
      <c r="H35" s="15"/>
      <c r="I35" s="15"/>
      <c r="J35" s="15"/>
      <c r="K35" s="15"/>
      <c r="L35" s="15"/>
      <c r="M35" s="15">
        <f>AVERAGE('1.HAFTA'!Q35:W35)</f>
        <v>1</v>
      </c>
      <c r="N35" s="16">
        <f>AVERAGE('2.HAFTA'!Q35:W35)</f>
        <v>1</v>
      </c>
      <c r="O35" s="67">
        <f>AVERAGE('3.HAFTA'!Q35:W35)</f>
        <v>0.75</v>
      </c>
      <c r="P35" s="16">
        <f>AVERAGE('4.HAFTA'!Q35:W35)</f>
        <v>1</v>
      </c>
      <c r="Q35" s="17">
        <f t="shared" si="2"/>
        <v>0.9375</v>
      </c>
      <c r="R35" s="16">
        <f>AVERAGE('1.HAFTA'!X35:AD35)</f>
        <v>1</v>
      </c>
      <c r="S35" s="16">
        <f>AVERAGE('2.HAFTA'!X35:AD35)</f>
        <v>1</v>
      </c>
      <c r="T35" s="16">
        <f>AVERAGE('2.HAFTA'!Y35:AE35)</f>
        <v>0.875</v>
      </c>
      <c r="U35" s="16">
        <f>AVERAGE('4.HAFTA'!X35:AD35)</f>
        <v>1</v>
      </c>
      <c r="V35" s="18">
        <f t="shared" si="5"/>
        <v>0.96875</v>
      </c>
      <c r="W35" s="18">
        <f t="shared" si="4"/>
        <v>0.83333333333333326</v>
      </c>
    </row>
    <row r="36" spans="1:23" ht="16.5" thickBot="1">
      <c r="A36" s="65">
        <v>33</v>
      </c>
      <c r="B36" s="20" t="str">
        <f>'1.HAFTA'!B36</f>
        <v>Mehmethan Gür</v>
      </c>
      <c r="C36" s="15">
        <f>AVERAGE('1.HAFTA'!C36:G36)</f>
        <v>0.75</v>
      </c>
      <c r="D36" s="16">
        <f>AVERAGE('2.HAFTA'!C36:I36)</f>
        <v>1</v>
      </c>
      <c r="E36" s="16">
        <f>AVERAGE('2.HAFTA'!D36:J36)</f>
        <v>1</v>
      </c>
      <c r="F36" s="67">
        <f>AVERAGE('4.HAFTA'!C36:I36)</f>
        <v>0.66666666666666663</v>
      </c>
      <c r="G36" s="17">
        <f t="shared" si="1"/>
        <v>0.85416666666666663</v>
      </c>
      <c r="H36" s="15"/>
      <c r="I36" s="15"/>
      <c r="J36" s="15"/>
      <c r="K36" s="15"/>
      <c r="L36" s="15"/>
      <c r="M36" s="15">
        <f>AVERAGE('1.HAFTA'!Q36:W36)</f>
        <v>0.75</v>
      </c>
      <c r="N36" s="16">
        <f>AVERAGE('2.HAFTA'!Q36:W36)</f>
        <v>1</v>
      </c>
      <c r="O36" s="67">
        <f>AVERAGE('3.HAFTA'!Q36:W36)</f>
        <v>0.5</v>
      </c>
      <c r="P36" s="16"/>
      <c r="Q36" s="17">
        <f t="shared" si="2"/>
        <v>0.75</v>
      </c>
      <c r="R36" s="16">
        <f>AVERAGE('1.HAFTA'!X36:AD36)</f>
        <v>0</v>
      </c>
      <c r="S36" s="16">
        <f>AVERAGE('2.HAFTA'!X36:AD36)</f>
        <v>1</v>
      </c>
      <c r="T36" s="16">
        <f>AVERAGE('2.HAFTA'!Y36:AE36)</f>
        <v>1</v>
      </c>
      <c r="U36" s="16">
        <f>AVERAGE('4.HAFTA'!X36:AD36)</f>
        <v>0</v>
      </c>
      <c r="V36" s="18">
        <f t="shared" si="5"/>
        <v>0.5</v>
      </c>
      <c r="W36" s="18">
        <f t="shared" si="4"/>
        <v>0.80208333333333326</v>
      </c>
    </row>
    <row r="37" spans="1:23" ht="16.5" thickBot="1">
      <c r="A37" s="19">
        <v>34</v>
      </c>
      <c r="B37" s="20" t="str">
        <f>'1.HAFTA'!B37</f>
        <v>Melih Taş</v>
      </c>
      <c r="C37" s="15">
        <f>AVERAGE('1.HAFTA'!C37:G37)</f>
        <v>1</v>
      </c>
      <c r="D37" s="16">
        <f>AVERAGE('2.HAFTA'!C37:I37)</f>
        <v>1</v>
      </c>
      <c r="E37" s="16">
        <f>AVERAGE('2.HAFTA'!D37:J37)</f>
        <v>1</v>
      </c>
      <c r="F37" s="67">
        <f>AVERAGE('4.HAFTA'!C37:I37)</f>
        <v>0.66666666666666663</v>
      </c>
      <c r="G37" s="17">
        <f t="shared" si="1"/>
        <v>0.91666666666666663</v>
      </c>
      <c r="H37" s="15"/>
      <c r="I37" s="15"/>
      <c r="J37" s="15"/>
      <c r="K37" s="15"/>
      <c r="L37" s="15"/>
      <c r="M37" s="15">
        <f>AVERAGE('1.HAFTA'!Q37:W37)</f>
        <v>0.5</v>
      </c>
      <c r="N37" s="16">
        <f>AVERAGE('2.HAFTA'!Q37:W37)</f>
        <v>0</v>
      </c>
      <c r="O37" s="67">
        <f>AVERAGE('3.HAFTA'!Q37:W37)</f>
        <v>0</v>
      </c>
      <c r="P37" s="16"/>
      <c r="Q37" s="17">
        <f t="shared" si="2"/>
        <v>0.16666666666666666</v>
      </c>
      <c r="R37" s="16">
        <f>AVERAGE('1.HAFTA'!X37:AD37)</f>
        <v>0.5</v>
      </c>
      <c r="S37" s="16">
        <f>AVERAGE('2.HAFTA'!X37:AD37)</f>
        <v>0</v>
      </c>
      <c r="T37" s="16">
        <f>AVERAGE('2.HAFTA'!Y37:AE37)</f>
        <v>0.5</v>
      </c>
      <c r="U37" s="16">
        <f>AVERAGE('4.HAFTA'!X37:AD37)</f>
        <v>0</v>
      </c>
      <c r="V37" s="18">
        <f t="shared" si="5"/>
        <v>0.25</v>
      </c>
      <c r="W37" s="18">
        <f t="shared" si="4"/>
        <v>0.54166666666666663</v>
      </c>
    </row>
    <row r="38" spans="1:23" ht="16.5" thickBot="1">
      <c r="A38" s="19">
        <v>35</v>
      </c>
      <c r="B38" s="20" t="str">
        <f>'1.HAFTA'!B38</f>
        <v>Melih Uzun</v>
      </c>
      <c r="C38" s="15">
        <f>AVERAGE('1.HAFTA'!C38:G38)</f>
        <v>1</v>
      </c>
      <c r="D38" s="16">
        <f>AVERAGE('2.HAFTA'!C38:I38)</f>
        <v>1</v>
      </c>
      <c r="E38" s="16">
        <f>AVERAGE('2.HAFTA'!D38:J38)</f>
        <v>1</v>
      </c>
      <c r="F38" s="67">
        <f>AVERAGE('4.HAFTA'!C38:I38)</f>
        <v>0.5</v>
      </c>
      <c r="G38" s="17">
        <f t="shared" si="1"/>
        <v>0.875</v>
      </c>
      <c r="H38" s="15"/>
      <c r="I38" s="15"/>
      <c r="J38" s="15"/>
      <c r="K38" s="15"/>
      <c r="L38" s="15"/>
      <c r="M38" s="15">
        <f>AVERAGE('1.HAFTA'!Q38:W38)</f>
        <v>1</v>
      </c>
      <c r="N38" s="16">
        <f>AVERAGE('2.HAFTA'!Q38:W38)</f>
        <v>0.66666666666666663</v>
      </c>
      <c r="O38" s="67">
        <f>AVERAGE('3.HAFTA'!Q38:W38)</f>
        <v>1</v>
      </c>
      <c r="P38" s="16">
        <f>AVERAGE('4.HAFTA'!Q38:W38)</f>
        <v>1</v>
      </c>
      <c r="Q38" s="63">
        <f t="shared" si="2"/>
        <v>0.91666666666666663</v>
      </c>
      <c r="R38" s="16">
        <f>AVERAGE('1.HAFTA'!X38:AD38)</f>
        <v>1</v>
      </c>
      <c r="S38" s="16">
        <f>AVERAGE('2.HAFTA'!X38:AD38)</f>
        <v>1</v>
      </c>
      <c r="T38" s="16">
        <f>AVERAGE('2.HAFTA'!Y38:AE38)</f>
        <v>1</v>
      </c>
      <c r="U38" s="16">
        <f>AVERAGE('4.HAFTA'!X38:AD38)</f>
        <v>1</v>
      </c>
      <c r="V38" s="64">
        <f t="shared" si="5"/>
        <v>1</v>
      </c>
      <c r="W38" s="64">
        <f t="shared" si="4"/>
        <v>0.89583333333333326</v>
      </c>
    </row>
    <row r="39" spans="1:23" ht="16.5" thickBot="1">
      <c r="A39" s="65">
        <v>36</v>
      </c>
      <c r="B39" s="20" t="str">
        <f>'1.HAFTA'!B39</f>
        <v>Mucahit Kan</v>
      </c>
      <c r="C39" s="15">
        <f>AVERAGE('1.HAFTA'!C39:G39)</f>
        <v>0.5</v>
      </c>
      <c r="D39" s="16">
        <f>AVERAGE('2.HAFTA'!C39:I39)</f>
        <v>0.5</v>
      </c>
      <c r="E39" s="16">
        <f>AVERAGE('2.HAFTA'!D39:J39)</f>
        <v>0.5</v>
      </c>
      <c r="F39" s="67">
        <f>AVERAGE('4.HAFTA'!C39:I39)</f>
        <v>0.66666666666666663</v>
      </c>
      <c r="G39" s="17">
        <f t="shared" si="1"/>
        <v>0.54166666666666663</v>
      </c>
      <c r="H39" s="15"/>
      <c r="I39" s="15"/>
      <c r="J39" s="15"/>
      <c r="K39" s="15"/>
      <c r="L39" s="15"/>
      <c r="M39" s="15">
        <f>AVERAGE('1.HAFTA'!Q39:W39)</f>
        <v>0.33333333333333331</v>
      </c>
      <c r="N39" s="16">
        <f>AVERAGE('2.HAFTA'!Q39:W39)</f>
        <v>0.33333333333333331</v>
      </c>
      <c r="O39" s="67">
        <f>AVERAGE('3.HAFTA'!Q39:W39)</f>
        <v>0</v>
      </c>
      <c r="P39" s="16"/>
      <c r="Q39" s="17">
        <f t="shared" si="2"/>
        <v>0.22222222222222221</v>
      </c>
      <c r="R39" s="16">
        <f>AVERAGE('1.HAFTA'!X39:AD39)</f>
        <v>0.5</v>
      </c>
      <c r="S39" s="16">
        <f>AVERAGE('2.HAFTA'!X39:AD39)</f>
        <v>1</v>
      </c>
      <c r="T39" s="16">
        <f>AVERAGE('2.HAFTA'!Y39:AE39)</f>
        <v>0.75</v>
      </c>
      <c r="U39" s="16">
        <f>AVERAGE('4.HAFTA'!X39:AD39)</f>
        <v>0</v>
      </c>
      <c r="V39" s="18">
        <f t="shared" si="5"/>
        <v>0.5625</v>
      </c>
      <c r="W39" s="18">
        <f t="shared" si="4"/>
        <v>0.38194444444444442</v>
      </c>
    </row>
    <row r="40" spans="1:23" ht="16.5" thickBot="1">
      <c r="A40" s="19">
        <v>37</v>
      </c>
      <c r="B40" s="20" t="str">
        <f>'1.HAFTA'!B40</f>
        <v>Oğuzhan Üzümcü</v>
      </c>
      <c r="C40" s="15">
        <f>AVERAGE('1.HAFTA'!C40:G40)</f>
        <v>1</v>
      </c>
      <c r="D40" s="16">
        <f>AVERAGE('2.HAFTA'!C40:I40)</f>
        <v>1</v>
      </c>
      <c r="E40" s="16">
        <f>AVERAGE('2.HAFTA'!D40:J40)</f>
        <v>1</v>
      </c>
      <c r="F40" s="67">
        <f>AVERAGE('4.HAFTA'!C40:I40)</f>
        <v>1</v>
      </c>
      <c r="G40" s="17">
        <f t="shared" si="1"/>
        <v>1</v>
      </c>
      <c r="H40" s="15"/>
      <c r="I40" s="15"/>
      <c r="J40" s="15"/>
      <c r="K40" s="15"/>
      <c r="L40" s="15"/>
      <c r="M40" s="15">
        <f>AVERAGE('1.HAFTA'!Q40:W40)</f>
        <v>1</v>
      </c>
      <c r="N40" s="16">
        <f>AVERAGE('2.HAFTA'!Q40:W40)</f>
        <v>1</v>
      </c>
      <c r="O40" s="67">
        <f>AVERAGE('3.HAFTA'!Q40:W40)</f>
        <v>0.75</v>
      </c>
      <c r="P40" s="16"/>
      <c r="Q40" s="17">
        <f t="shared" si="2"/>
        <v>0.91666666666666663</v>
      </c>
      <c r="R40" s="16">
        <f>AVERAGE('1.HAFTA'!X40:AD40)</f>
        <v>0.5</v>
      </c>
      <c r="S40" s="16">
        <f>AVERAGE('2.HAFTA'!X40:AD40)</f>
        <v>1</v>
      </c>
      <c r="T40" s="16">
        <f>AVERAGE('2.HAFTA'!Y40:AE40)</f>
        <v>1</v>
      </c>
      <c r="U40" s="16">
        <f>AVERAGE('4.HAFTA'!X40:AD40)</f>
        <v>0</v>
      </c>
      <c r="V40" s="18">
        <f t="shared" si="5"/>
        <v>0.625</v>
      </c>
      <c r="W40" s="18">
        <f t="shared" si="4"/>
        <v>0.95833333333333326</v>
      </c>
    </row>
    <row r="41" spans="1:23" ht="16.5" thickBot="1">
      <c r="A41" s="19">
        <v>38</v>
      </c>
      <c r="B41" s="20" t="str">
        <f>'1.HAFTA'!B41</f>
        <v>Orhan Boyacıoğlu</v>
      </c>
      <c r="C41" s="15">
        <f>AVERAGE('1.HAFTA'!C41:G41)</f>
        <v>1</v>
      </c>
      <c r="D41" s="16">
        <f>AVERAGE('2.HAFTA'!C41:I41)</f>
        <v>0.75</v>
      </c>
      <c r="E41" s="16">
        <f>AVERAGE('2.HAFTA'!D41:J41)</f>
        <v>0.75</v>
      </c>
      <c r="F41" s="67">
        <f>AVERAGE('4.HAFTA'!C41:I41)</f>
        <v>1</v>
      </c>
      <c r="G41" s="17">
        <f t="shared" si="1"/>
        <v>0.875</v>
      </c>
      <c r="H41" s="15"/>
      <c r="I41" s="15"/>
      <c r="J41" s="15"/>
      <c r="K41" s="15"/>
      <c r="L41" s="15"/>
      <c r="M41" s="15">
        <f>AVERAGE('1.HAFTA'!Q41:W41)</f>
        <v>1</v>
      </c>
      <c r="N41" s="16">
        <f>AVERAGE('2.HAFTA'!Q41:W41)</f>
        <v>1</v>
      </c>
      <c r="O41" s="67">
        <f>AVERAGE('3.HAFTA'!Q41:W41)</f>
        <v>1</v>
      </c>
      <c r="P41" s="16">
        <f>AVERAGE('4.HAFTA'!Q41:W41)</f>
        <v>1</v>
      </c>
      <c r="Q41" s="17">
        <f t="shared" si="2"/>
        <v>1</v>
      </c>
      <c r="R41" s="16">
        <f>AVERAGE('1.HAFTA'!X41:AD41)</f>
        <v>1</v>
      </c>
      <c r="S41" s="16">
        <f>AVERAGE('2.HAFTA'!X41:AD41)</f>
        <v>1</v>
      </c>
      <c r="T41" s="16">
        <f>AVERAGE('2.HAFTA'!Y41:AE41)</f>
        <v>0.875</v>
      </c>
      <c r="U41" s="16">
        <f>AVERAGE('4.HAFTA'!X41:AD41)</f>
        <v>1</v>
      </c>
      <c r="V41" s="18">
        <f t="shared" si="5"/>
        <v>0.96875</v>
      </c>
      <c r="W41" s="18">
        <f t="shared" si="4"/>
        <v>0.9375</v>
      </c>
    </row>
    <row r="42" spans="1:23" ht="16.5" thickBot="1">
      <c r="A42" s="65">
        <v>39</v>
      </c>
      <c r="B42" s="20" t="str">
        <f>'1.HAFTA'!B42</f>
        <v>Osman Sevilir</v>
      </c>
      <c r="C42" s="15">
        <f>AVERAGE('1.HAFTA'!C42:G42)</f>
        <v>0</v>
      </c>
      <c r="D42" s="16">
        <f>AVERAGE('2.HAFTA'!C42:I42)</f>
        <v>0.33333333333333331</v>
      </c>
      <c r="E42" s="16">
        <f>AVERAGE('2.HAFTA'!D42:J42)</f>
        <v>0.33333333333333331</v>
      </c>
      <c r="F42" s="67">
        <f>AVERAGE('4.HAFTA'!C42:I42)</f>
        <v>0</v>
      </c>
      <c r="G42" s="17">
        <f t="shared" si="1"/>
        <v>0.16666666666666666</v>
      </c>
      <c r="H42" s="15"/>
      <c r="I42" s="15"/>
      <c r="J42" s="15"/>
      <c r="K42" s="15"/>
      <c r="L42" s="15"/>
      <c r="M42" s="15">
        <f>AVERAGE('1.HAFTA'!Q42:W42)</f>
        <v>0.33333333333333331</v>
      </c>
      <c r="N42" s="16">
        <f>AVERAGE('2.HAFTA'!Q42:W42)</f>
        <v>0</v>
      </c>
      <c r="O42" s="67">
        <f>AVERAGE('3.HAFTA'!Q42:W42)</f>
        <v>0</v>
      </c>
      <c r="P42" s="16">
        <f>AVERAGE('4.HAFTA'!Q42:W42)</f>
        <v>0</v>
      </c>
      <c r="Q42" s="17">
        <f t="shared" si="2"/>
        <v>8.3333333333333329E-2</v>
      </c>
      <c r="R42" s="16">
        <f>AVERAGE('1.HAFTA'!X42:AD42)</f>
        <v>0</v>
      </c>
      <c r="S42" s="16"/>
      <c r="T42" s="16">
        <f>AVERAGE('2.HAFTA'!Y42:AE42)</f>
        <v>0.33333333333333331</v>
      </c>
      <c r="U42" s="16">
        <f>AVERAGE('4.HAFTA'!X42:AD42)</f>
        <v>1</v>
      </c>
      <c r="V42" s="18">
        <f t="shared" si="5"/>
        <v>0.44444444444444442</v>
      </c>
      <c r="W42" s="18">
        <f t="shared" si="4"/>
        <v>0.125</v>
      </c>
    </row>
    <row r="43" spans="1:23" ht="16.5" thickBot="1">
      <c r="A43" s="19">
        <v>40</v>
      </c>
      <c r="B43" s="20" t="str">
        <f>'1.HAFTA'!B43</f>
        <v>Salih Gedik</v>
      </c>
      <c r="C43" s="15">
        <f>AVERAGE('1.HAFTA'!C43:G43)</f>
        <v>1</v>
      </c>
      <c r="D43" s="16">
        <f>AVERAGE('2.HAFTA'!C43:I43)</f>
        <v>0.5</v>
      </c>
      <c r="E43" s="16">
        <f>AVERAGE('2.HAFTA'!D43:J43)</f>
        <v>0.5</v>
      </c>
      <c r="F43" s="67">
        <f>AVERAGE('4.HAFTA'!C43:I43)</f>
        <v>0</v>
      </c>
      <c r="G43" s="17">
        <f t="shared" si="1"/>
        <v>0.5</v>
      </c>
      <c r="H43" s="15"/>
      <c r="I43" s="15"/>
      <c r="J43" s="15"/>
      <c r="K43" s="15"/>
      <c r="L43" s="15"/>
      <c r="M43" s="15">
        <f>AVERAGE('1.HAFTA'!Q43:W43)</f>
        <v>0.75</v>
      </c>
      <c r="N43" s="16">
        <f>AVERAGE('2.HAFTA'!Q43:W43)</f>
        <v>0</v>
      </c>
      <c r="O43" s="67">
        <f>AVERAGE('3.HAFTA'!Q43:W43)</f>
        <v>0.25</v>
      </c>
      <c r="P43" s="16"/>
      <c r="Q43" s="17">
        <f t="shared" si="2"/>
        <v>0.33333333333333331</v>
      </c>
      <c r="R43" s="16">
        <f>AVERAGE('1.HAFTA'!X43:AD43)</f>
        <v>0.5</v>
      </c>
      <c r="S43" s="16"/>
      <c r="T43" s="16">
        <f>AVERAGE('2.HAFTA'!Y43:AE43)</f>
        <v>0.5</v>
      </c>
      <c r="U43" s="16">
        <f>AVERAGE('4.HAFTA'!X43:AD43)</f>
        <v>0</v>
      </c>
      <c r="V43" s="18">
        <f t="shared" si="5"/>
        <v>0.33333333333333331</v>
      </c>
      <c r="W43" s="18">
        <f t="shared" si="4"/>
        <v>0.41666666666666663</v>
      </c>
    </row>
    <row r="44" spans="1:23" ht="16.5" thickBot="1">
      <c r="A44" s="19">
        <v>41</v>
      </c>
      <c r="B44" s="20" t="str">
        <f>'1.HAFTA'!B44</f>
        <v>Usame Alışkan</v>
      </c>
      <c r="C44" s="15">
        <f>AVERAGE('1.HAFTA'!C44:G44)</f>
        <v>1</v>
      </c>
      <c r="D44" s="16">
        <f>AVERAGE('2.HAFTA'!C44:I44)</f>
        <v>1</v>
      </c>
      <c r="E44" s="16">
        <f>AVERAGE('2.HAFTA'!D44:J44)</f>
        <v>1</v>
      </c>
      <c r="F44" s="67">
        <f>AVERAGE('4.HAFTA'!C44:I44)</f>
        <v>1</v>
      </c>
      <c r="G44" s="17">
        <f t="shared" si="1"/>
        <v>1</v>
      </c>
      <c r="H44" s="15"/>
      <c r="I44" s="15"/>
      <c r="J44" s="15"/>
      <c r="K44" s="15"/>
      <c r="L44" s="15"/>
      <c r="M44" s="15">
        <f>AVERAGE('1.HAFTA'!Q44:W44)</f>
        <v>1</v>
      </c>
      <c r="N44" s="16">
        <f>AVERAGE('2.HAFTA'!Q44:W44)</f>
        <v>1</v>
      </c>
      <c r="O44" s="67">
        <f>AVERAGE('3.HAFTA'!Q44:W44)</f>
        <v>1</v>
      </c>
      <c r="P44" s="16"/>
      <c r="Q44" s="17">
        <f t="shared" si="2"/>
        <v>1</v>
      </c>
      <c r="R44" s="16">
        <f>AVERAGE('1.HAFTA'!X44:AD44)</f>
        <v>1</v>
      </c>
      <c r="S44" s="16"/>
      <c r="T44" s="16">
        <f>AVERAGE('2.HAFTA'!Y44:AE44)</f>
        <v>1</v>
      </c>
      <c r="U44" s="16">
        <f>AVERAGE('4.HAFTA'!X44:AD44)</f>
        <v>1</v>
      </c>
      <c r="V44" s="18">
        <f t="shared" si="5"/>
        <v>1</v>
      </c>
      <c r="W44" s="18">
        <f t="shared" si="4"/>
        <v>1</v>
      </c>
    </row>
    <row r="45" spans="1:23" ht="16.5" thickBot="1">
      <c r="A45" s="65">
        <v>42</v>
      </c>
      <c r="B45" s="20" t="str">
        <f>'1.HAFTA'!B45</f>
        <v>Yusuf Can Nas</v>
      </c>
      <c r="C45" s="15">
        <f>AVERAGE('1.HAFTA'!C45:G45)</f>
        <v>1</v>
      </c>
      <c r="D45" s="16">
        <f>AVERAGE('2.HAFTA'!C45:I45)</f>
        <v>1</v>
      </c>
      <c r="E45" s="16">
        <f>AVERAGE('2.HAFTA'!D45:J45)</f>
        <v>1</v>
      </c>
      <c r="F45" s="67">
        <f>AVERAGE('4.HAFTA'!C45:I45)</f>
        <v>0.33333333333333331</v>
      </c>
      <c r="G45" s="17">
        <f t="shared" si="1"/>
        <v>0.83333333333333337</v>
      </c>
      <c r="H45" s="15"/>
      <c r="I45" s="15"/>
      <c r="J45" s="15"/>
      <c r="K45" s="15"/>
      <c r="L45" s="15"/>
      <c r="M45" s="15">
        <f>AVERAGE('1.HAFTA'!Q45:W45)</f>
        <v>0.75</v>
      </c>
      <c r="N45" s="16">
        <f>AVERAGE('2.HAFTA'!Q45:W45)</f>
        <v>0.33333333333333331</v>
      </c>
      <c r="O45" s="67">
        <f>AVERAGE('3.HAFTA'!Q45:W45)</f>
        <v>0.25</v>
      </c>
      <c r="P45" s="16"/>
      <c r="Q45" s="17">
        <f t="shared" si="2"/>
        <v>0.44444444444444442</v>
      </c>
      <c r="R45" s="16">
        <f>AVERAGE('1.HAFTA'!X45:AD45)</f>
        <v>0.5</v>
      </c>
      <c r="S45" s="16">
        <f>AVERAGE('2.HAFTA'!X45:AD45)</f>
        <v>1</v>
      </c>
      <c r="T45" s="16">
        <f>AVERAGE('2.HAFTA'!Y45:AE45)</f>
        <v>1</v>
      </c>
      <c r="U45" s="16">
        <f>AVERAGE('4.HAFTA'!X45:AD45)</f>
        <v>1</v>
      </c>
      <c r="V45" s="18">
        <f t="shared" si="5"/>
        <v>0.875</v>
      </c>
      <c r="W45" s="18">
        <f t="shared" si="4"/>
        <v>0.63888888888888884</v>
      </c>
    </row>
    <row r="46" spans="1:23" ht="15.75">
      <c r="A46" s="19">
        <v>43</v>
      </c>
      <c r="B46" s="20">
        <f>('1.HAFTA'!B46)</f>
        <v>0</v>
      </c>
      <c r="C46" s="15"/>
      <c r="D46" s="16"/>
      <c r="E46" s="16"/>
      <c r="F46" s="16"/>
      <c r="G46" s="17"/>
      <c r="H46" s="15"/>
      <c r="I46" s="15"/>
      <c r="J46" s="15"/>
      <c r="K46" s="15"/>
      <c r="L46" s="15"/>
      <c r="M46" s="15"/>
      <c r="N46" s="16"/>
      <c r="O46" s="16"/>
      <c r="P46" s="16"/>
      <c r="Q46" s="17"/>
      <c r="R46" s="16"/>
      <c r="S46" s="16"/>
      <c r="T46" s="16"/>
      <c r="U46" s="16"/>
      <c r="V46" s="18"/>
      <c r="W46" s="18"/>
    </row>
    <row r="47" spans="1:23" ht="15.75">
      <c r="A47" s="19">
        <v>44</v>
      </c>
      <c r="B47" s="47">
        <f>('1.HAFTA'!B47)</f>
        <v>0</v>
      </c>
      <c r="C47" s="15"/>
      <c r="D47" s="16"/>
      <c r="E47" s="16"/>
      <c r="F47" s="16"/>
      <c r="G47" s="17"/>
      <c r="H47" s="15"/>
      <c r="I47" s="15"/>
      <c r="J47" s="15"/>
      <c r="K47" s="15"/>
      <c r="L47" s="15"/>
      <c r="M47" s="15"/>
      <c r="N47" s="16"/>
      <c r="O47" s="16"/>
      <c r="P47" s="16"/>
      <c r="Q47" s="17"/>
      <c r="R47" s="16"/>
      <c r="S47" s="16"/>
      <c r="T47" s="16"/>
      <c r="U47" s="16"/>
      <c r="V47" s="18"/>
      <c r="W47" s="18"/>
    </row>
    <row r="48" spans="1:23" ht="15.75">
      <c r="A48" s="19">
        <v>46</v>
      </c>
      <c r="B48" s="20">
        <f>('1.HAFTA'!B48)</f>
        <v>0</v>
      </c>
      <c r="C48" s="15"/>
      <c r="D48" s="16"/>
      <c r="E48" s="16"/>
      <c r="F48" s="16"/>
      <c r="G48" s="17"/>
      <c r="H48" s="15"/>
      <c r="I48" s="15"/>
      <c r="J48" s="15"/>
      <c r="K48" s="15"/>
      <c r="L48" s="15"/>
      <c r="M48" s="15"/>
      <c r="N48" s="16"/>
      <c r="O48" s="16"/>
      <c r="P48" s="16"/>
      <c r="Q48" s="17"/>
      <c r="R48" s="16"/>
      <c r="S48" s="16"/>
      <c r="T48" s="16"/>
      <c r="U48" s="16"/>
      <c r="V48" s="18"/>
      <c r="W48" s="18"/>
    </row>
    <row r="49" spans="1:27" ht="16.5" thickBot="1">
      <c r="A49" s="19">
        <v>47</v>
      </c>
      <c r="B49" s="60">
        <f>('1.HAFTA'!B49)</f>
        <v>0</v>
      </c>
      <c r="C49" s="15"/>
      <c r="D49" s="16"/>
      <c r="E49" s="16"/>
      <c r="F49" s="16"/>
      <c r="G49" s="68"/>
      <c r="H49" s="15"/>
      <c r="I49" s="15"/>
      <c r="J49" s="15"/>
      <c r="K49" s="15"/>
      <c r="L49" s="15"/>
      <c r="M49" s="15"/>
      <c r="N49" s="16"/>
      <c r="O49" s="67"/>
      <c r="P49" s="16"/>
      <c r="Q49" s="68"/>
      <c r="R49" s="67"/>
      <c r="S49" s="67"/>
      <c r="T49" s="67"/>
      <c r="U49" s="16"/>
      <c r="V49" s="69"/>
      <c r="W49" s="69"/>
      <c r="AA49" t="s">
        <v>89</v>
      </c>
    </row>
    <row r="50" spans="1:27" ht="16.5" thickBot="1">
      <c r="A50" s="65">
        <v>48</v>
      </c>
      <c r="B50" s="47">
        <f>('1.HAFTA'!B50)</f>
        <v>0</v>
      </c>
      <c r="C50" s="15"/>
      <c r="D50" s="16"/>
      <c r="E50" s="16"/>
      <c r="F50" s="16"/>
      <c r="G50" s="63"/>
      <c r="H50" s="15"/>
      <c r="I50" s="15"/>
      <c r="J50" s="15"/>
      <c r="K50" s="15"/>
      <c r="L50" s="15"/>
      <c r="M50" s="15"/>
      <c r="N50" s="16"/>
      <c r="O50" s="62"/>
      <c r="P50" s="16"/>
      <c r="Q50" s="63"/>
      <c r="R50" s="62"/>
      <c r="S50" s="62"/>
      <c r="T50" s="62"/>
      <c r="U50" s="16"/>
      <c r="V50" s="64"/>
      <c r="W50" s="64"/>
    </row>
    <row r="51" spans="1:27" ht="15.75">
      <c r="A51" s="19">
        <v>49</v>
      </c>
      <c r="B51" s="20">
        <f>('1.HAFTA'!B51)</f>
        <v>0</v>
      </c>
      <c r="C51" s="15"/>
      <c r="D51" s="16"/>
      <c r="E51" s="16"/>
      <c r="F51" s="16"/>
      <c r="G51" s="17"/>
      <c r="H51" s="15"/>
      <c r="I51" s="15"/>
      <c r="J51" s="15"/>
      <c r="K51" s="15"/>
      <c r="L51" s="15"/>
      <c r="M51" s="15"/>
      <c r="N51" s="16"/>
      <c r="O51" s="16"/>
      <c r="P51" s="16"/>
      <c r="Q51" s="17"/>
      <c r="R51" s="16"/>
      <c r="S51" s="16"/>
      <c r="T51" s="16"/>
      <c r="U51" s="16"/>
      <c r="V51" s="18"/>
      <c r="W51" s="18"/>
    </row>
    <row r="52" spans="1:27" ht="15.75">
      <c r="A52" s="19">
        <v>50</v>
      </c>
      <c r="B52" s="20">
        <f>('1.HAFTA'!B52)</f>
        <v>0</v>
      </c>
      <c r="C52" s="15"/>
      <c r="D52" s="16"/>
      <c r="E52" s="16"/>
      <c r="F52" s="16"/>
      <c r="G52" s="17"/>
      <c r="H52" s="15"/>
      <c r="I52" s="15"/>
      <c r="J52" s="15"/>
      <c r="K52" s="15"/>
      <c r="L52" s="15"/>
      <c r="M52" s="15"/>
      <c r="N52" s="16"/>
      <c r="O52" s="16"/>
      <c r="P52" s="16"/>
      <c r="Q52" s="17"/>
      <c r="R52" s="16"/>
      <c r="S52" s="16"/>
      <c r="T52" s="16"/>
      <c r="U52" s="16"/>
      <c r="V52" s="18"/>
      <c r="W52" s="18"/>
    </row>
    <row r="53" spans="1:27" ht="16.5" thickBot="1">
      <c r="A53" s="65">
        <v>51</v>
      </c>
      <c r="B53" s="20">
        <f>('1.HAFTA'!B53)</f>
        <v>0</v>
      </c>
      <c r="C53" s="15"/>
      <c r="D53" s="16"/>
      <c r="E53" s="16"/>
      <c r="F53" s="16"/>
      <c r="G53" s="17"/>
      <c r="H53" s="15"/>
      <c r="I53" s="15"/>
      <c r="J53" s="15"/>
      <c r="K53" s="15"/>
      <c r="L53" s="15"/>
      <c r="M53" s="15"/>
      <c r="N53" s="16"/>
      <c r="O53" s="16"/>
      <c r="P53" s="16"/>
      <c r="Q53" s="17"/>
      <c r="R53" s="16"/>
      <c r="S53" s="16"/>
      <c r="T53" s="16"/>
      <c r="U53" s="16"/>
      <c r="V53" s="18"/>
      <c r="W53" s="18"/>
    </row>
    <row r="54" spans="1:27" ht="15.75">
      <c r="A54" s="19">
        <v>52</v>
      </c>
      <c r="B54" s="20">
        <f>('1.HAFTA'!B54)</f>
        <v>0</v>
      </c>
      <c r="C54" s="15"/>
      <c r="D54" s="16"/>
      <c r="E54" s="16"/>
      <c r="F54" s="16"/>
      <c r="G54" s="17"/>
      <c r="H54" s="15"/>
      <c r="I54" s="15"/>
      <c r="J54" s="15"/>
      <c r="K54" s="15"/>
      <c r="L54" s="15"/>
      <c r="M54" s="15"/>
      <c r="N54" s="16"/>
      <c r="O54" s="16"/>
      <c r="P54" s="16"/>
      <c r="Q54" s="17"/>
      <c r="R54" s="16"/>
      <c r="S54" s="16"/>
      <c r="T54" s="16"/>
      <c r="U54" s="16"/>
      <c r="V54" s="18"/>
      <c r="W54" s="18"/>
    </row>
    <row r="55" spans="1:27" ht="15.75">
      <c r="A55" s="19">
        <v>53</v>
      </c>
      <c r="B55" s="20">
        <f>('1.HAFTA'!B55)</f>
        <v>0</v>
      </c>
      <c r="C55" s="15"/>
      <c r="D55" s="16"/>
      <c r="E55" s="16"/>
      <c r="F55" s="16"/>
      <c r="G55" s="17"/>
      <c r="H55" s="15"/>
      <c r="I55" s="15"/>
      <c r="J55" s="15"/>
      <c r="K55" s="15"/>
      <c r="L55" s="15"/>
      <c r="M55" s="15"/>
      <c r="N55" s="16"/>
      <c r="O55" s="16"/>
      <c r="P55" s="16"/>
      <c r="Q55" s="17"/>
      <c r="R55" s="16"/>
      <c r="S55" s="16"/>
      <c r="T55" s="16"/>
      <c r="U55" s="16"/>
      <c r="V55" s="18"/>
      <c r="W55" s="18"/>
    </row>
    <row r="56" spans="1:27" ht="16.5" thickBot="1">
      <c r="A56" s="65">
        <v>54</v>
      </c>
      <c r="B56" s="20">
        <f>('1.HAFTA'!B56)</f>
        <v>0</v>
      </c>
      <c r="C56" s="15"/>
      <c r="D56" s="16"/>
      <c r="E56" s="16"/>
      <c r="F56" s="16"/>
      <c r="G56" s="17"/>
      <c r="H56" s="15"/>
      <c r="I56" s="15"/>
      <c r="J56" s="15"/>
      <c r="K56" s="15"/>
      <c r="L56" s="15"/>
      <c r="M56" s="15"/>
      <c r="N56" s="16"/>
      <c r="O56" s="16"/>
      <c r="P56" s="16"/>
      <c r="Q56" s="17"/>
      <c r="R56" s="16"/>
      <c r="S56" s="16"/>
      <c r="T56" s="16"/>
      <c r="U56" s="16"/>
      <c r="V56" s="18"/>
      <c r="W56" s="18"/>
    </row>
    <row r="57" spans="1:27" ht="15.75">
      <c r="A57" s="19">
        <v>55</v>
      </c>
      <c r="B57" s="20">
        <f>('1.HAFTA'!B57)</f>
        <v>0</v>
      </c>
      <c r="C57" s="15"/>
      <c r="D57" s="16"/>
      <c r="E57" s="16"/>
      <c r="F57" s="16"/>
      <c r="G57" s="17"/>
      <c r="H57" s="15"/>
      <c r="I57" s="15"/>
      <c r="J57" s="15"/>
      <c r="K57" s="15"/>
      <c r="L57" s="15"/>
      <c r="M57" s="15"/>
      <c r="N57" s="16"/>
      <c r="O57" s="16"/>
      <c r="P57" s="16"/>
      <c r="Q57" s="17"/>
      <c r="R57" s="16"/>
      <c r="S57" s="16"/>
      <c r="T57" s="16"/>
      <c r="U57" s="16"/>
      <c r="V57" s="18"/>
      <c r="W57" s="18"/>
    </row>
    <row r="58" spans="1:27" ht="15.75">
      <c r="A58" s="19">
        <v>56</v>
      </c>
      <c r="B58" s="20"/>
      <c r="C58" s="15"/>
      <c r="D58" s="16"/>
      <c r="E58" s="16"/>
      <c r="F58" s="16"/>
      <c r="G58" s="17"/>
      <c r="H58" s="15"/>
      <c r="I58" s="15"/>
      <c r="J58" s="15"/>
      <c r="K58" s="15"/>
      <c r="L58" s="15"/>
      <c r="M58" s="15"/>
      <c r="N58" s="16"/>
      <c r="O58" s="16"/>
      <c r="P58" s="16"/>
      <c r="Q58" s="17"/>
      <c r="R58" s="16"/>
      <c r="S58" s="16"/>
      <c r="T58" s="16"/>
      <c r="U58" s="16"/>
      <c r="V58" s="18"/>
      <c r="W58" s="18"/>
    </row>
    <row r="60" spans="1:27">
      <c r="W60" s="80"/>
    </row>
  </sheetData>
  <mergeCells count="4">
    <mergeCell ref="A2:B2"/>
    <mergeCell ref="C2:W2"/>
    <mergeCell ref="A1:W1"/>
    <mergeCell ref="X1:AA1"/>
  </mergeCells>
  <conditionalFormatting sqref="C4:W58">
    <cfRule type="cellIs" dxfId="2" priority="4" operator="between">
      <formula>0.85</formula>
      <formula>1</formula>
    </cfRule>
    <cfRule type="cellIs" dxfId="1" priority="5" operator="between">
      <formula>0.6</formula>
      <formula>0.85</formula>
    </cfRule>
    <cfRule type="cellIs" dxfId="0" priority="6" operator="between">
      <formula>0</formula>
      <formula>0.6</formula>
    </cfRule>
  </conditionalFormatting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5</vt:i4>
      </vt:variant>
      <vt:variant>
        <vt:lpstr>Benoemde bereiken</vt:lpstr>
      </vt:variant>
      <vt:variant>
        <vt:i4>1</vt:i4>
      </vt:variant>
    </vt:vector>
  </HeadingPairs>
  <TitlesOfParts>
    <vt:vector size="6" baseType="lpstr">
      <vt:lpstr>1.HAFTA</vt:lpstr>
      <vt:lpstr>2.HAFTA</vt:lpstr>
      <vt:lpstr>3.HAFTA</vt:lpstr>
      <vt:lpstr>4.HAFTA</vt:lpstr>
      <vt:lpstr>GENEL</vt:lpstr>
      <vt:lpstr>'2.HAFTA'!Afdrukbereik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2025-04-10T22:28:35Z</dcterms:modified>
</cp:coreProperties>
</file>